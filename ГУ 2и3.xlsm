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Санёк\Downloads\"/>
    </mc:Choice>
  </mc:AlternateContent>
  <bookViews>
    <workbookView xWindow="0" yWindow="0" windowWidth="28800" windowHeight="12015" activeTab="1"/>
  </bookViews>
  <sheets>
    <sheet name="Лист1" sheetId="2" r:id="rId1"/>
    <sheet name="Лист2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C24" i="4" l="1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F22" i="4" l="1"/>
  <c r="AE24" i="4" s="1"/>
  <c r="C21" i="4"/>
  <c r="D21" i="4" s="1"/>
  <c r="E21" i="4" s="1"/>
  <c r="F21" i="4" s="1"/>
  <c r="G21" i="4" s="1"/>
  <c r="H21" i="4" s="1"/>
  <c r="I21" i="4" s="1"/>
  <c r="J21" i="4" s="1"/>
  <c r="K21" i="4" s="1"/>
  <c r="L21" i="4" s="1"/>
  <c r="M21" i="4" s="1"/>
  <c r="N21" i="4" s="1"/>
  <c r="O21" i="4" s="1"/>
  <c r="P21" i="4" s="1"/>
  <c r="Q21" i="4" s="1"/>
  <c r="R21" i="4" s="1"/>
  <c r="S21" i="4" s="1"/>
  <c r="T21" i="4" s="1"/>
  <c r="U21" i="4" s="1"/>
  <c r="V21" i="4" s="1"/>
  <c r="W21" i="4" s="1"/>
  <c r="X21" i="4" s="1"/>
  <c r="Y21" i="4" s="1"/>
  <c r="Z21" i="4" s="1"/>
  <c r="AA21" i="4" s="1"/>
  <c r="AB21" i="4" s="1"/>
  <c r="AC21" i="4" s="1"/>
  <c r="AD21" i="4" s="1"/>
  <c r="AE21" i="4" s="1"/>
  <c r="AF21" i="4" s="1"/>
  <c r="C6" i="4"/>
  <c r="C7" i="4" l="1"/>
  <c r="B25" i="2"/>
  <c r="C25" i="2" s="1"/>
  <c r="AF22" i="2"/>
  <c r="C6" i="2"/>
  <c r="C21" i="2" s="1"/>
  <c r="D21" i="2" s="1"/>
  <c r="E21" i="2" s="1"/>
  <c r="F21" i="2" s="1"/>
  <c r="G21" i="2" s="1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B25" i="2" l="1"/>
  <c r="T25" i="2"/>
  <c r="L25" i="2"/>
  <c r="H25" i="2"/>
  <c r="D25" i="2"/>
  <c r="AE25" i="2"/>
  <c r="AD25" i="2"/>
  <c r="Z25" i="2"/>
  <c r="V25" i="2"/>
  <c r="R25" i="2"/>
  <c r="N25" i="2"/>
  <c r="J25" i="2"/>
  <c r="F25" i="2"/>
  <c r="AF25" i="2"/>
  <c r="X25" i="2"/>
  <c r="P25" i="2"/>
  <c r="AA25" i="2"/>
  <c r="W25" i="2"/>
  <c r="S25" i="2"/>
  <c r="O25" i="2"/>
  <c r="K25" i="2"/>
  <c r="G25" i="2"/>
  <c r="AC25" i="2"/>
  <c r="Y25" i="2"/>
  <c r="U25" i="2"/>
  <c r="Q25" i="2"/>
  <c r="M25" i="2"/>
  <c r="I25" i="2"/>
  <c r="E25" i="2"/>
  <c r="C7" i="2"/>
  <c r="C24" i="2" s="1"/>
  <c r="AE24" i="2" l="1"/>
  <c r="AA24" i="2"/>
  <c r="W24" i="2"/>
  <c r="S24" i="2"/>
  <c r="O24" i="2"/>
  <c r="K24" i="2"/>
  <c r="G24" i="2"/>
  <c r="AD24" i="2"/>
  <c r="Z24" i="2"/>
  <c r="V24" i="2"/>
  <c r="R24" i="2"/>
  <c r="N24" i="2"/>
  <c r="J24" i="2"/>
  <c r="F24" i="2"/>
  <c r="AC24" i="2"/>
  <c r="Y24" i="2"/>
  <c r="U24" i="2"/>
  <c r="Q24" i="2"/>
  <c r="M24" i="2"/>
  <c r="I24" i="2"/>
  <c r="E24" i="2"/>
  <c r="AB24" i="2"/>
  <c r="X24" i="2"/>
  <c r="T24" i="2"/>
  <c r="P24" i="2"/>
  <c r="L24" i="2"/>
  <c r="H24" i="2"/>
  <c r="D24" i="2"/>
</calcChain>
</file>

<file path=xl/sharedStrings.xml><?xml version="1.0" encoding="utf-8"?>
<sst xmlns="http://schemas.openxmlformats.org/spreadsheetml/2006/main" count="26" uniqueCount="14">
  <si>
    <t>L</t>
  </si>
  <si>
    <t>dx</t>
  </si>
  <si>
    <t>dt</t>
  </si>
  <si>
    <t>t</t>
  </si>
  <si>
    <t>Cp</t>
  </si>
  <si>
    <t>ro</t>
  </si>
  <si>
    <t>lambda</t>
  </si>
  <si>
    <t>T</t>
  </si>
  <si>
    <t>T2</t>
  </si>
  <si>
    <t>T_iter</t>
  </si>
  <si>
    <t>q1</t>
  </si>
  <si>
    <t>q</t>
  </si>
  <si>
    <t>alpha</t>
  </si>
  <si>
    <t>е1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</si>
</sst>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1" fillId="0" borderId="1" xfId="0" applyFont="1" applyBorder="1"/>
    <xf numFmtId="0" fontId="1" fillId="0" borderId="2" xfId="0" applyFont="1" applyBorder="1"/>
    <xf numFmtId="0" fontId="0" fillId="0" borderId="0" xfId="0" applyBorder="1"/>
    <xf numFmtId="0" fontId="1" fillId="0" borderId="0" xfId="0" applyFont="1" applyBorder="1"/>
    <xf numFmtId="165" fontId="0" fillId="0" borderId="2" xfId="0" applyNumberFormat="1" applyBorder="1"/>
    <xf numFmtId="0" fontId="0" fillId="0" borderId="1" xfId="0" applyFill="1" applyBorder="1"/>
    <xf numFmtId="0" fontId="0" fillId="0" borderId="0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6" xfId="0" applyFill="1" applyBorder="1"/>
    <xf numFmtId="0" fontId="0" fillId="0" borderId="7" xfId="0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124532463839"/>
          <c:y val="2.1085682140180868E-2"/>
          <c:w val="0.80357971335252709"/>
          <c:h val="0.721699526233393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Лист1!$B$22:$AF$22</c:f>
              <c:numCache>
                <c:formatCode>General</c:formatCode>
                <c:ptCount val="31"/>
                <c:pt idx="0">
                  <c:v>6.666666666666667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05E-4BC5-BF9E-F2A8E13C1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28064"/>
        <c:axId val="197434592"/>
      </c:scatterChart>
      <c:valAx>
        <c:axId val="19742806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86825010381009549"/>
              <c:y val="0.748286738363738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434592"/>
        <c:crosses val="autoZero"/>
        <c:crossBetween val="midCat"/>
        <c:majorUnit val="1.0000000000000002E-2"/>
      </c:valAx>
      <c:valAx>
        <c:axId val="1974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3.1222993719368795E-2"/>
              <c:y val="1.073076040053070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42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90A-447F-B9F6-5B86524AC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36224"/>
        <c:axId val="197436768"/>
      </c:scatterChart>
      <c:valAx>
        <c:axId val="1974362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436768"/>
        <c:crosses val="autoZero"/>
        <c:crossBetween val="midCat"/>
        <c:majorUnit val="1.0000000000000002E-2"/>
      </c:valAx>
      <c:valAx>
        <c:axId val="19743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43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12481971727044"/>
          <c:y val="8.3750202085199996E-2"/>
          <c:w val="0.80357971335252709"/>
          <c:h val="0.721699526233393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Лист2!$B$21:$AF$21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Лист2!$B$22:$AF$22</c:f>
              <c:numCache>
                <c:formatCode>General</c:formatCode>
                <c:ptCount val="31"/>
                <c:pt idx="0">
                  <c:v>0</c:v>
                </c:pt>
                <c:pt idx="1">
                  <c:v>123.40425531914893</c:v>
                </c:pt>
                <c:pt idx="2">
                  <c:v>123.40425531914893</c:v>
                </c:pt>
                <c:pt idx="3">
                  <c:v>123.40425531914893</c:v>
                </c:pt>
                <c:pt idx="4">
                  <c:v>123.40425531914893</c:v>
                </c:pt>
                <c:pt idx="5">
                  <c:v>123.40425531914893</c:v>
                </c:pt>
                <c:pt idx="6">
                  <c:v>123.40425531914893</c:v>
                </c:pt>
                <c:pt idx="7">
                  <c:v>123.40425531914893</c:v>
                </c:pt>
                <c:pt idx="8">
                  <c:v>123.40425531914893</c:v>
                </c:pt>
                <c:pt idx="9">
                  <c:v>123.40425531914893</c:v>
                </c:pt>
                <c:pt idx="10">
                  <c:v>123.40425531914893</c:v>
                </c:pt>
                <c:pt idx="11">
                  <c:v>123.40425531914893</c:v>
                </c:pt>
                <c:pt idx="12">
                  <c:v>123.40425531914893</c:v>
                </c:pt>
                <c:pt idx="13">
                  <c:v>123.40425531914893</c:v>
                </c:pt>
                <c:pt idx="14">
                  <c:v>123.40425531914893</c:v>
                </c:pt>
                <c:pt idx="15">
                  <c:v>123.40425531914893</c:v>
                </c:pt>
                <c:pt idx="16">
                  <c:v>123.40425531914893</c:v>
                </c:pt>
                <c:pt idx="17">
                  <c:v>123.40425531914893</c:v>
                </c:pt>
                <c:pt idx="18">
                  <c:v>123.40425531914893</c:v>
                </c:pt>
                <c:pt idx="19">
                  <c:v>123.40425531914893</c:v>
                </c:pt>
                <c:pt idx="20">
                  <c:v>123.40425531914893</c:v>
                </c:pt>
                <c:pt idx="21">
                  <c:v>123.40425531914893</c:v>
                </c:pt>
                <c:pt idx="22">
                  <c:v>123.40425531914904</c:v>
                </c:pt>
                <c:pt idx="23">
                  <c:v>123.40425531915737</c:v>
                </c:pt>
                <c:pt idx="24">
                  <c:v>123.40425531981718</c:v>
                </c:pt>
                <c:pt idx="25">
                  <c:v>123.4042553721623</c:v>
                </c:pt>
                <c:pt idx="26">
                  <c:v>123.40425952487608</c:v>
                </c:pt>
                <c:pt idx="27">
                  <c:v>123.40458897350338</c:v>
                </c:pt>
                <c:pt idx="28">
                  <c:v>123.43072523126898</c:v>
                </c:pt>
                <c:pt idx="29">
                  <c:v>125.50420168067227</c:v>
                </c:pt>
                <c:pt idx="30">
                  <c:v>290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A4C-423C-8110-5503E4B15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38400"/>
        <c:axId val="2120171920"/>
      </c:scatterChart>
      <c:valAx>
        <c:axId val="1974384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L, </a:t>
                </a:r>
                <a:r>
                  <a:rPr lang="ru-RU" sz="18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89027422243589061"/>
              <c:y val="0.861472735985445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20171920"/>
        <c:crosses val="autoZero"/>
        <c:crossBetween val="midCat"/>
        <c:majorUnit val="1.0000000000000002E-2"/>
      </c:valAx>
      <c:valAx>
        <c:axId val="212017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>
                    <a:solidFill>
                      <a:schemeClr val="tx1"/>
                    </a:solidFill>
                  </a:rPr>
                  <a:t>Т, </a:t>
                </a:r>
                <a:r>
                  <a:rPr lang="ru-RU" sz="18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1800">
                    <a:solidFill>
                      <a:schemeClr val="tx1"/>
                    </a:solidFill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1.4093123677083645E-2"/>
              <c:y val="4.390611172401821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43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429984</xdr:colOff>
      <xdr:row>0</xdr:row>
      <xdr:rowOff>138792</xdr:rowOff>
    </xdr:from>
    <xdr:to>
      <xdr:col>20</xdr:col>
      <xdr:colOff>476249</xdr:colOff>
      <xdr:row>18</xdr:row>
      <xdr:rowOff>155121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FEB8C6D2-4C44-4F72-977E-ACFD4DE995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2BEB678-247F-4840-A410-19BD9A074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468084</xdr:colOff>
      <xdr:row>0</xdr:row>
      <xdr:rowOff>148317</xdr:rowOff>
    </xdr:from>
    <xdr:to>
      <xdr:col>17</xdr:col>
      <xdr:colOff>514349</xdr:colOff>
      <xdr:row>18</xdr:row>
      <xdr:rowOff>164646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196A115B-96DF-432A-9DC3-561FFBC70C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5:AF25"/>
  <sheetViews>
    <sheetView workbookViewId="0">
      <selection activeCell="F9" sqref="F9"/>
    </sheetView>
  </sheetViews>
  <sheetFormatPr defaultRowHeight="15" x14ac:dyDescent="0.25"/>
  <cols>
    <col min="2" max="2" width="7.7109375" bestFit="1" customWidth="1"/>
    <col min="3" max="3" width="8.7109375" bestFit="1" customWidth="1"/>
    <col min="4" max="32" width="7.7109375" bestFit="1" customWidth="1"/>
  </cols>
  <sheetData>
    <row r="5" spans="1:4" x14ac:dyDescent="0.25">
      <c r="B5" s="3" t="s">
        <v>0</v>
      </c>
      <c r="C5" s="1">
        <v>0.1</v>
      </c>
    </row>
    <row r="6" spans="1:4" x14ac:dyDescent="0.25">
      <c r="B6" s="4" t="s">
        <v>1</v>
      </c>
      <c r="C6" s="7">
        <f>C5/30</f>
        <v>3.3333333333333335E-3</v>
      </c>
    </row>
    <row r="7" spans="1:4" x14ac:dyDescent="0.25">
      <c r="B7" s="3" t="s">
        <v>2</v>
      </c>
      <c r="C7" s="1">
        <f>(C10*C11*C6^2)/(2*C12)</f>
        <v>0.4333333333333334</v>
      </c>
    </row>
    <row r="8" spans="1:4" x14ac:dyDescent="0.25">
      <c r="B8" s="3" t="s">
        <v>3</v>
      </c>
      <c r="C8" s="1">
        <v>5000</v>
      </c>
      <c r="D8">
        <v>5000.2333333333345</v>
      </c>
    </row>
    <row r="9" spans="1:4" x14ac:dyDescent="0.25">
      <c r="A9" s="5"/>
      <c r="B9" s="6"/>
      <c r="C9" s="5"/>
      <c r="D9" s="5"/>
    </row>
    <row r="10" spans="1:4" x14ac:dyDescent="0.25">
      <c r="B10" s="3" t="s">
        <v>4</v>
      </c>
      <c r="C10" s="1">
        <v>460</v>
      </c>
    </row>
    <row r="11" spans="1:4" x14ac:dyDescent="0.25">
      <c r="B11" s="3" t="s">
        <v>5</v>
      </c>
      <c r="C11" s="1">
        <v>7800</v>
      </c>
    </row>
    <row r="12" spans="1:4" x14ac:dyDescent="0.25">
      <c r="B12" s="4" t="s">
        <v>6</v>
      </c>
      <c r="C12" s="13">
        <v>46</v>
      </c>
    </row>
    <row r="13" spans="1:4" x14ac:dyDescent="0.25">
      <c r="B13" s="15"/>
      <c r="C13" s="15"/>
    </row>
    <row r="14" spans="1:4" x14ac:dyDescent="0.25">
      <c r="B14" s="11" t="s">
        <v>8</v>
      </c>
      <c r="C14" s="11">
        <v>100</v>
      </c>
    </row>
    <row r="15" spans="1:4" x14ac:dyDescent="0.25">
      <c r="B15" s="1" t="s">
        <v>10</v>
      </c>
      <c r="C15" s="1">
        <v>92000</v>
      </c>
    </row>
    <row r="20" spans="1:32" x14ac:dyDescent="0.25">
      <c r="A20" s="12"/>
      <c r="B20" s="10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25">
      <c r="A21" s="1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25">
      <c r="A22" s="1" t="s">
        <v>7</v>
      </c>
      <c r="B22" s="8">
        <f>(B25/C12)*C6+C22</f>
        <v>6.666666666666667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f>C14</f>
        <v>100</v>
      </c>
    </row>
    <row r="24" spans="1:32" x14ac:dyDescent="0.25">
      <c r="A24" s="1" t="s">
        <v>9</v>
      </c>
      <c r="B24" s="1"/>
      <c r="C24" s="1">
        <f>C22+($C12*$C7)/($C10*$C11)*((D22-2*C22+B22)/$C6^2)</f>
        <v>3.3333333333333335</v>
      </c>
      <c r="D24" s="1">
        <f t="shared" ref="D24:AE24" si="1">D22+($C12*$C7)/($C10*$C11)*((E22-2*D22+C22)/$C6^2)</f>
        <v>0</v>
      </c>
      <c r="E24" s="1">
        <f t="shared" si="1"/>
        <v>0</v>
      </c>
      <c r="F24" s="1">
        <f t="shared" si="1"/>
        <v>0</v>
      </c>
      <c r="G24" s="1">
        <f t="shared" si="1"/>
        <v>0</v>
      </c>
      <c r="H24" s="1">
        <f t="shared" si="1"/>
        <v>0</v>
      </c>
      <c r="I24" s="1">
        <f t="shared" si="1"/>
        <v>0</v>
      </c>
      <c r="J24" s="1">
        <f t="shared" si="1"/>
        <v>0</v>
      </c>
      <c r="K24" s="1">
        <f t="shared" si="1"/>
        <v>0</v>
      </c>
      <c r="L24" s="1">
        <f t="shared" si="1"/>
        <v>0</v>
      </c>
      <c r="M24" s="1">
        <f t="shared" si="1"/>
        <v>0</v>
      </c>
      <c r="N24" s="1">
        <f t="shared" si="1"/>
        <v>0</v>
      </c>
      <c r="O24" s="1">
        <f t="shared" si="1"/>
        <v>0</v>
      </c>
      <c r="P24" s="1">
        <f t="shared" si="1"/>
        <v>0</v>
      </c>
      <c r="Q24" s="1">
        <f t="shared" si="1"/>
        <v>0</v>
      </c>
      <c r="R24" s="1">
        <f t="shared" si="1"/>
        <v>0</v>
      </c>
      <c r="S24" s="1">
        <f t="shared" si="1"/>
        <v>0</v>
      </c>
      <c r="T24" s="1">
        <f t="shared" si="1"/>
        <v>0</v>
      </c>
      <c r="U24" s="1">
        <f t="shared" si="1"/>
        <v>0</v>
      </c>
      <c r="V24" s="1">
        <f t="shared" si="1"/>
        <v>0</v>
      </c>
      <c r="W24" s="1">
        <f t="shared" si="1"/>
        <v>0</v>
      </c>
      <c r="X24" s="1">
        <f t="shared" si="1"/>
        <v>0</v>
      </c>
      <c r="Y24" s="1">
        <f t="shared" si="1"/>
        <v>0</v>
      </c>
      <c r="Z24" s="1">
        <f t="shared" si="1"/>
        <v>0</v>
      </c>
      <c r="AA24" s="1">
        <f t="shared" si="1"/>
        <v>0</v>
      </c>
      <c r="AB24" s="1">
        <f t="shared" si="1"/>
        <v>0</v>
      </c>
      <c r="AC24" s="1">
        <f t="shared" si="1"/>
        <v>0</v>
      </c>
      <c r="AD24" s="1">
        <f t="shared" si="1"/>
        <v>0</v>
      </c>
      <c r="AE24" s="1">
        <f t="shared" si="1"/>
        <v>50</v>
      </c>
      <c r="AF24" s="1"/>
    </row>
    <row r="25" spans="1:32" x14ac:dyDescent="0.25">
      <c r="A25" s="8" t="s">
        <v>11</v>
      </c>
      <c r="B25" s="1">
        <f>C15</f>
        <v>92000</v>
      </c>
      <c r="C25" s="1">
        <f>-$C$12*((C22-B22)/$C$6)</f>
        <v>92000</v>
      </c>
      <c r="D25" s="1">
        <f t="shared" ref="D25:AF25" si="2">-$C$12*((D22-C22)/$C$6)</f>
        <v>0</v>
      </c>
      <c r="E25" s="1">
        <f t="shared" si="2"/>
        <v>0</v>
      </c>
      <c r="F25" s="1">
        <f t="shared" si="2"/>
        <v>0</v>
      </c>
      <c r="G25" s="1">
        <f t="shared" si="2"/>
        <v>0</v>
      </c>
      <c r="H25" s="1">
        <f t="shared" si="2"/>
        <v>0</v>
      </c>
      <c r="I25" s="1">
        <f t="shared" si="2"/>
        <v>0</v>
      </c>
      <c r="J25" s="1">
        <f t="shared" si="2"/>
        <v>0</v>
      </c>
      <c r="K25" s="1">
        <f t="shared" si="2"/>
        <v>0</v>
      </c>
      <c r="L25" s="1">
        <f t="shared" si="2"/>
        <v>0</v>
      </c>
      <c r="M25" s="1">
        <f t="shared" si="2"/>
        <v>0</v>
      </c>
      <c r="N25" s="1">
        <f t="shared" si="2"/>
        <v>0</v>
      </c>
      <c r="O25" s="1">
        <f t="shared" si="2"/>
        <v>0</v>
      </c>
      <c r="P25" s="1">
        <f t="shared" si="2"/>
        <v>0</v>
      </c>
      <c r="Q25" s="1">
        <f t="shared" si="2"/>
        <v>0</v>
      </c>
      <c r="R25" s="1">
        <f t="shared" si="2"/>
        <v>0</v>
      </c>
      <c r="S25" s="1">
        <f t="shared" si="2"/>
        <v>0</v>
      </c>
      <c r="T25" s="1">
        <f t="shared" si="2"/>
        <v>0</v>
      </c>
      <c r="U25" s="1">
        <f t="shared" si="2"/>
        <v>0</v>
      </c>
      <c r="V25" s="1">
        <f t="shared" si="2"/>
        <v>0</v>
      </c>
      <c r="W25" s="1">
        <f t="shared" si="2"/>
        <v>0</v>
      </c>
      <c r="X25" s="1">
        <f t="shared" si="2"/>
        <v>0</v>
      </c>
      <c r="Y25" s="1">
        <f t="shared" si="2"/>
        <v>0</v>
      </c>
      <c r="Z25" s="1">
        <f t="shared" si="2"/>
        <v>0</v>
      </c>
      <c r="AA25" s="1">
        <f t="shared" si="2"/>
        <v>0</v>
      </c>
      <c r="AB25" s="1">
        <f t="shared" si="2"/>
        <v>0</v>
      </c>
      <c r="AC25" s="1">
        <f t="shared" si="2"/>
        <v>0</v>
      </c>
      <c r="AD25" s="1">
        <f t="shared" si="2"/>
        <v>0</v>
      </c>
      <c r="AE25" s="1">
        <f t="shared" si="2"/>
        <v>0</v>
      </c>
      <c r="AF25" s="1">
        <f t="shared" si="2"/>
        <v>-1379999.9999999998</v>
      </c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5:AF25"/>
  <sheetViews>
    <sheetView tabSelected="1" workbookViewId="0">
      <selection activeCell="N32" sqref="N32"/>
    </sheetView>
  </sheetViews>
  <sheetFormatPr defaultRowHeight="15" x14ac:dyDescent="0.25"/>
  <cols>
    <col min="2" max="2" width="7.7109375" bestFit="1" customWidth="1"/>
    <col min="3" max="3" width="12.7109375" bestFit="1" customWidth="1"/>
    <col min="4" max="32" width="7.7109375" bestFit="1" customWidth="1"/>
  </cols>
  <sheetData>
    <row r="5" spans="1:4" x14ac:dyDescent="0.25">
      <c r="B5" s="3" t="s">
        <v>0</v>
      </c>
      <c r="C5" s="1">
        <v>0.1</v>
      </c>
    </row>
    <row r="6" spans="1:4" x14ac:dyDescent="0.25">
      <c r="B6" s="4" t="s">
        <v>1</v>
      </c>
      <c r="C6" s="7">
        <f>C5/30</f>
        <v>3.3333333333333335E-3</v>
      </c>
    </row>
    <row r="7" spans="1:4" x14ac:dyDescent="0.25">
      <c r="B7" s="3" t="s">
        <v>2</v>
      </c>
      <c r="C7" s="1">
        <f>(C10*C11*C6^2)/(2*C12)</f>
        <v>0.4333333333333334</v>
      </c>
    </row>
    <row r="8" spans="1:4" x14ac:dyDescent="0.25">
      <c r="B8" s="3" t="s">
        <v>3</v>
      </c>
      <c r="C8" s="1">
        <v>3000</v>
      </c>
      <c r="D8">
        <v>1013.1333333333336</v>
      </c>
    </row>
    <row r="9" spans="1:4" x14ac:dyDescent="0.25">
      <c r="A9" s="5"/>
      <c r="B9" s="6"/>
      <c r="C9" s="5"/>
      <c r="D9" s="5"/>
    </row>
    <row r="10" spans="1:4" x14ac:dyDescent="0.25">
      <c r="B10" s="3" t="s">
        <v>4</v>
      </c>
      <c r="C10" s="1">
        <v>460</v>
      </c>
    </row>
    <row r="11" spans="1:4" x14ac:dyDescent="0.25">
      <c r="B11" s="3" t="s">
        <v>5</v>
      </c>
      <c r="C11" s="1">
        <v>7800</v>
      </c>
    </row>
    <row r="12" spans="1:4" x14ac:dyDescent="0.25">
      <c r="B12" s="3" t="s">
        <v>6</v>
      </c>
      <c r="C12" s="1">
        <v>46</v>
      </c>
    </row>
    <row r="13" spans="1:4" x14ac:dyDescent="0.25">
      <c r="B13" s="1" t="s">
        <v>12</v>
      </c>
      <c r="C13" s="1">
        <v>10000</v>
      </c>
    </row>
    <row r="14" spans="1:4" x14ac:dyDescent="0.25">
      <c r="B14" s="1" t="s">
        <v>8</v>
      </c>
      <c r="C14" s="1">
        <v>290</v>
      </c>
    </row>
    <row r="15" spans="1:4" x14ac:dyDescent="0.25">
      <c r="B15" s="13" t="s">
        <v>13</v>
      </c>
      <c r="C15" s="13">
        <v>300</v>
      </c>
    </row>
    <row r="16" spans="1:4" x14ac:dyDescent="0.25">
      <c r="B16" s="14"/>
      <c r="C16" s="14"/>
    </row>
    <row r="20" spans="1:32" x14ac:dyDescent="0.25">
      <c r="A20" s="12"/>
      <c r="B20" s="10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25">
      <c r="A21" s="1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25">
      <c r="A22" s="1" t="s">
        <v>7</v>
      </c>
      <c r="B22" s="8">
        <v>0</v>
      </c>
      <c r="C22" s="8">
        <v>123.40425531914893</v>
      </c>
      <c r="D22" s="8">
        <v>123.40425531914893</v>
      </c>
      <c r="E22" s="8">
        <v>123.40425531914893</v>
      </c>
      <c r="F22" s="8">
        <v>123.40425531914893</v>
      </c>
      <c r="G22" s="8">
        <v>123.40425531914893</v>
      </c>
      <c r="H22" s="8">
        <v>123.40425531914893</v>
      </c>
      <c r="I22" s="8">
        <v>123.40425531914893</v>
      </c>
      <c r="J22" s="8">
        <v>123.40425531914893</v>
      </c>
      <c r="K22" s="8">
        <v>123.40425531914893</v>
      </c>
      <c r="L22" s="8">
        <v>123.40425531914893</v>
      </c>
      <c r="M22" s="8">
        <v>123.40425531914893</v>
      </c>
      <c r="N22" s="8">
        <v>123.40425531914893</v>
      </c>
      <c r="O22" s="8">
        <v>123.40425531914893</v>
      </c>
      <c r="P22" s="8">
        <v>123.40425531914893</v>
      </c>
      <c r="Q22" s="8">
        <v>123.40425531914893</v>
      </c>
      <c r="R22" s="8">
        <v>123.40425531914893</v>
      </c>
      <c r="S22" s="8">
        <v>123.40425531914893</v>
      </c>
      <c r="T22" s="8">
        <v>123.40425531914893</v>
      </c>
      <c r="U22" s="8">
        <v>123.40425531914893</v>
      </c>
      <c r="V22" s="8">
        <v>123.40425531914893</v>
      </c>
      <c r="W22" s="8">
        <v>123.40425531914893</v>
      </c>
      <c r="X22" s="8">
        <v>123.40425531914904</v>
      </c>
      <c r="Y22" s="8">
        <v>123.40425531915737</v>
      </c>
      <c r="Z22" s="8">
        <v>123.40425531981718</v>
      </c>
      <c r="AA22" s="8">
        <v>123.4042553721623</v>
      </c>
      <c r="AB22" s="8">
        <v>123.40425952487608</v>
      </c>
      <c r="AC22" s="8">
        <v>123.40458897350338</v>
      </c>
      <c r="AD22" s="8">
        <v>123.43072523126898</v>
      </c>
      <c r="AE22" s="8">
        <v>125.50420168067227</v>
      </c>
      <c r="AF22" s="8">
        <f>C14</f>
        <v>290</v>
      </c>
    </row>
    <row r="24" spans="1:32" x14ac:dyDescent="0.25">
      <c r="A24" s="1" t="s">
        <v>9</v>
      </c>
      <c r="B24" s="1"/>
      <c r="C24" s="1">
        <f t="shared" ref="C24:AE24" si="1">($C$13*$C$14*$C$6+D22)/($C$12+$C$13*$C$6)</f>
        <v>123.40425531914893</v>
      </c>
      <c r="D24" s="1">
        <f t="shared" si="1"/>
        <v>123.40425531914893</v>
      </c>
      <c r="E24" s="1">
        <f t="shared" si="1"/>
        <v>123.40425531914893</v>
      </c>
      <c r="F24" s="1">
        <f t="shared" si="1"/>
        <v>123.40425531914893</v>
      </c>
      <c r="G24" s="1">
        <f t="shared" si="1"/>
        <v>123.40425531914893</v>
      </c>
      <c r="H24" s="1">
        <f t="shared" si="1"/>
        <v>123.40425531914893</v>
      </c>
      <c r="I24" s="1">
        <f t="shared" si="1"/>
        <v>123.40425531914893</v>
      </c>
      <c r="J24" s="1">
        <f t="shared" si="1"/>
        <v>123.40425531914893</v>
      </c>
      <c r="K24" s="1">
        <f t="shared" si="1"/>
        <v>123.40425531914893</v>
      </c>
      <c r="L24" s="1">
        <f t="shared" si="1"/>
        <v>123.40425531914893</v>
      </c>
      <c r="M24" s="1">
        <f t="shared" si="1"/>
        <v>123.40425531914893</v>
      </c>
      <c r="N24" s="1">
        <f t="shared" si="1"/>
        <v>123.40425531914893</v>
      </c>
      <c r="O24" s="1">
        <f t="shared" si="1"/>
        <v>123.40425531914893</v>
      </c>
      <c r="P24" s="1">
        <f t="shared" si="1"/>
        <v>123.40425531914893</v>
      </c>
      <c r="Q24" s="1">
        <f t="shared" si="1"/>
        <v>123.40425531914893</v>
      </c>
      <c r="R24" s="1">
        <f t="shared" si="1"/>
        <v>123.40425531914893</v>
      </c>
      <c r="S24" s="1">
        <f t="shared" si="1"/>
        <v>123.40425531914893</v>
      </c>
      <c r="T24" s="1">
        <f t="shared" si="1"/>
        <v>123.40425531914893</v>
      </c>
      <c r="U24" s="1">
        <f t="shared" si="1"/>
        <v>123.40425531914893</v>
      </c>
      <c r="V24" s="1">
        <f t="shared" si="1"/>
        <v>123.40425531914893</v>
      </c>
      <c r="W24" s="1">
        <f t="shared" si="1"/>
        <v>123.40425531914893</v>
      </c>
      <c r="X24" s="1">
        <f t="shared" si="1"/>
        <v>123.40425531914904</v>
      </c>
      <c r="Y24" s="1">
        <f t="shared" si="1"/>
        <v>123.40425531915737</v>
      </c>
      <c r="Z24" s="1">
        <f t="shared" si="1"/>
        <v>123.40425531981718</v>
      </c>
      <c r="AA24" s="1">
        <f t="shared" si="1"/>
        <v>123.4042553721623</v>
      </c>
      <c r="AB24" s="1">
        <f t="shared" si="1"/>
        <v>123.40425952487608</v>
      </c>
      <c r="AC24" s="1">
        <f t="shared" si="1"/>
        <v>123.40458897350338</v>
      </c>
      <c r="AD24" s="1">
        <f t="shared" si="1"/>
        <v>123.43072523126898</v>
      </c>
      <c r="AE24" s="1">
        <f t="shared" si="1"/>
        <v>125.50420168067227</v>
      </c>
      <c r="AF24" s="5"/>
    </row>
    <row r="25" spans="1:32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Мой Господин</dc:creator>
  <cp:lastModifiedBy>Мой Господин</cp:lastModifiedBy>
  <dcterms:created xsi:type="dcterms:W3CDTF">2021-10-10T10:01:56Z</dcterms:created>
  <dcterms:modified xsi:type="dcterms:W3CDTF">2021-10-11T14:29:17Z</dcterms:modified>
</cp:coreProperties>
</file>