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AJ16" i="1" l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G16" i="1"/>
  <c r="F13" i="1"/>
  <c r="AI15" i="1" l="1"/>
  <c r="AH15" i="1"/>
  <c r="AG15" i="1"/>
  <c r="AF15" i="1"/>
  <c r="AD15" i="1"/>
  <c r="AA15" i="1"/>
  <c r="X15" i="1"/>
  <c r="V15" i="1"/>
  <c r="U15" i="1"/>
  <c r="S15" i="1"/>
  <c r="R15" i="1"/>
  <c r="Q15" i="1"/>
  <c r="P15" i="1"/>
  <c r="N15" i="1"/>
  <c r="M15" i="1"/>
  <c r="I15" i="1"/>
  <c r="G15" i="1"/>
  <c r="H15" i="1"/>
  <c r="J15" i="1"/>
  <c r="K15" i="1"/>
  <c r="L15" i="1"/>
  <c r="AB15" i="1"/>
  <c r="AC15" i="1"/>
  <c r="C5" i="1"/>
  <c r="H12" i="1"/>
  <c r="I12" i="1"/>
  <c r="J12" i="1"/>
  <c r="K12" i="1"/>
  <c r="L12" i="1"/>
  <c r="M12" i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Z15" i="1" l="1"/>
  <c r="Y15" i="1"/>
  <c r="W15" i="1"/>
  <c r="AE15" i="1"/>
  <c r="T15" i="1"/>
  <c r="O15" i="1"/>
</calcChain>
</file>

<file path=xl/sharedStrings.xml><?xml version="1.0" encoding="utf-8"?>
<sst xmlns="http://schemas.openxmlformats.org/spreadsheetml/2006/main" count="14" uniqueCount="13">
  <si>
    <t>L</t>
  </si>
  <si>
    <t>dx</t>
  </si>
  <si>
    <t>xt</t>
  </si>
  <si>
    <t>t</t>
  </si>
  <si>
    <t>Cp</t>
  </si>
  <si>
    <t>ro</t>
  </si>
  <si>
    <t>lamda</t>
  </si>
  <si>
    <t>T</t>
  </si>
  <si>
    <t xml:space="preserve"> 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</si>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</sst>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299.99387486027325</c:v>
                </c:pt>
                <c:pt idx="1">
                  <c:v>293.32720819360657</c:v>
                </c:pt>
                <c:pt idx="2">
                  <c:v>286.66055888931396</c:v>
                </c:pt>
                <c:pt idx="3">
                  <c:v>279.99392689817978</c:v>
                </c:pt>
                <c:pt idx="4">
                  <c:v>273.32731212191254</c:v>
                </c:pt>
                <c:pt idx="5">
                  <c:v>266.66071441342325</c:v>
                </c:pt>
                <c:pt idx="6">
                  <c:v>259.99413357724245</c:v>
                </c:pt>
                <c:pt idx="7">
                  <c:v>253.32756937007437</c:v>
                </c:pt>
                <c:pt idx="8">
                  <c:v>246.6610215014864</c:v>
                </c:pt>
                <c:pt idx="9">
                  <c:v>239.99448963473245</c:v>
                </c:pt>
                <c:pt idx="10">
                  <c:v>233.32797338770752</c:v>
                </c:pt>
                <c:pt idx="11">
                  <c:v>226.6614723340308</c:v>
                </c:pt>
                <c:pt idx="12">
                  <c:v>219.99498600425432</c:v>
                </c:pt>
                <c:pt idx="13">
                  <c:v>213.32851388719351</c:v>
                </c:pt>
                <c:pt idx="14">
                  <c:v>206.66205543137639</c:v>
                </c:pt>
                <c:pt idx="15">
                  <c:v>199.99561004660671</c:v>
                </c:pt>
                <c:pt idx="16">
                  <c:v>193.32917710563686</c:v>
                </c:pt>
                <c:pt idx="17">
                  <c:v>186.66275594594603</c:v>
                </c:pt>
                <c:pt idx="18">
                  <c:v>179.99634587161788</c:v>
                </c:pt>
                <c:pt idx="19">
                  <c:v>173.32994615531373</c:v>
                </c:pt>
                <c:pt idx="20">
                  <c:v>166.66355604033359</c:v>
                </c:pt>
                <c:pt idx="21">
                  <c:v>159.99717474276184</c:v>
                </c:pt>
                <c:pt idx="22">
                  <c:v>153.33080145368859</c:v>
                </c:pt>
                <c:pt idx="23">
                  <c:v>146.66443534150335</c:v>
                </c:pt>
                <c:pt idx="24">
                  <c:v>139.9980755542517</c:v>
                </c:pt>
                <c:pt idx="25">
                  <c:v>133.33172122205059</c:v>
                </c:pt>
                <c:pt idx="26">
                  <c:v>126.66537145955408</c:v>
                </c:pt>
                <c:pt idx="27">
                  <c:v>119.99902536846284</c:v>
                </c:pt>
                <c:pt idx="28">
                  <c:v>113.33268204007058</c:v>
                </c:pt>
                <c:pt idx="29">
                  <c:v>106.66634055783985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89760"/>
        <c:axId val="2073698464"/>
      </c:scatterChart>
      <c:valAx>
        <c:axId val="20736897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3698464"/>
        <c:crosses val="autoZero"/>
        <c:crossBetween val="midCat"/>
      </c:valAx>
      <c:valAx>
        <c:axId val="2073698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368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</xdr:colOff>
      <xdr:row>17</xdr:row>
      <xdr:rowOff>104774</xdr:rowOff>
    </xdr:from>
    <xdr:to>
      <xdr:col>13</xdr:col>
      <xdr:colOff>176892</xdr:colOff>
      <xdr:row>42</xdr:row>
      <xdr:rowOff>108857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134709</xdr:colOff>
      <xdr:row>40</xdr:row>
      <xdr:rowOff>182335</xdr:rowOff>
    </xdr:from>
    <xdr:ext cx="492507" cy="281808"/>
    <xdr:sp macro="" textlink="">
      <xdr:nvSpPr>
        <xdr:cNvPr id="3" name="TextBox 2"/>
        <xdr:cNvSpPr txBox="1"/>
      </xdr:nvSpPr>
      <xdr:spPr>
        <a:xfrm>
          <a:off x="6843030" y="7802335"/>
          <a:ext cx="492507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GB" sz="1800" b="1" i="1"/>
            <a:t>L,[m]</a:t>
          </a:r>
          <a:endParaRPr lang="ru-RU" sz="1800" b="1" i="1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0.148</cdr:x>
      <cdr:y>0.1036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25487" cy="4938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6"/>
  <sheetViews>
    <sheetView tabSelected="1" topLeftCell="D1" zoomScale="50" zoomScaleNormal="50" workbookViewId="0">
      <selection activeCell="Z26" sqref="Z26"/>
    </sheetView>
  </sheetViews>
  <sheetFormatPr defaultRowHeight="15" x14ac:dyDescent="0.25"/>
  <cols>
    <col min="3" max="3" width="9.5703125" bestFit="1" customWidth="1"/>
    <col min="6" max="36" width="7.7109375" bestFit="1" customWidth="1"/>
  </cols>
  <sheetData>
    <row r="3" spans="1:36" x14ac:dyDescent="0.25">
      <c r="B3" s="2" t="s">
        <v>0</v>
      </c>
      <c r="C3" s="2">
        <v>0.1</v>
      </c>
    </row>
    <row r="4" spans="1:36" x14ac:dyDescent="0.25">
      <c r="B4" s="2" t="s">
        <v>1</v>
      </c>
      <c r="C4" s="4">
        <f>C3/30</f>
        <v>3.3333333333333335E-3</v>
      </c>
    </row>
    <row r="5" spans="1:36" x14ac:dyDescent="0.25">
      <c r="B5" s="2" t="s">
        <v>2</v>
      </c>
      <c r="C5" s="4">
        <f>(C9*C8*C4^2)/(2*C10)</f>
        <v>0.4333333333333334</v>
      </c>
    </row>
    <row r="6" spans="1:36" x14ac:dyDescent="0.25">
      <c r="B6" s="2" t="s">
        <v>3</v>
      </c>
      <c r="C6" s="2">
        <v>5000</v>
      </c>
      <c r="D6">
        <v>5000.4333333333334</v>
      </c>
    </row>
    <row r="7" spans="1:36" x14ac:dyDescent="0.25">
      <c r="A7" s="1"/>
      <c r="B7" s="5"/>
      <c r="C7" s="5"/>
      <c r="D7" s="1"/>
    </row>
    <row r="8" spans="1:36" x14ac:dyDescent="0.25">
      <c r="B8" s="2" t="s">
        <v>4</v>
      </c>
      <c r="C8" s="2">
        <v>460</v>
      </c>
    </row>
    <row r="9" spans="1:36" x14ac:dyDescent="0.25">
      <c r="B9" s="2" t="s">
        <v>5</v>
      </c>
      <c r="C9" s="2">
        <v>7800</v>
      </c>
    </row>
    <row r="10" spans="1:36" x14ac:dyDescent="0.25">
      <c r="B10" s="2" t="s">
        <v>6</v>
      </c>
      <c r="C10" s="2">
        <v>46</v>
      </c>
    </row>
    <row r="11" spans="1:36" x14ac:dyDescent="0.25">
      <c r="A11" s="1"/>
      <c r="B11" s="5"/>
      <c r="C11" s="5"/>
      <c r="D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11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2" t="s">
        <v>9</v>
      </c>
      <c r="C13" s="2">
        <v>100</v>
      </c>
      <c r="E13" t="s">
        <v>7</v>
      </c>
      <c r="F13">
        <f>(F16/C10)*C4+G13</f>
        <v>299.99387486027325</v>
      </c>
      <c r="G13">
        <v>293.32720819360657</v>
      </c>
      <c r="H13">
        <v>286.66055888931396</v>
      </c>
      <c r="I13">
        <v>279.99392689817978</v>
      </c>
      <c r="J13">
        <v>273.32731212191254</v>
      </c>
      <c r="K13">
        <v>266.66071441342325</v>
      </c>
      <c r="L13">
        <v>259.99413357724245</v>
      </c>
      <c r="M13">
        <v>253.32756937007437</v>
      </c>
      <c r="N13">
        <v>246.6610215014864</v>
      </c>
      <c r="O13">
        <v>239.99448963473245</v>
      </c>
      <c r="P13">
        <v>233.32797338770752</v>
      </c>
      <c r="Q13">
        <v>226.6614723340308</v>
      </c>
      <c r="R13">
        <v>219.99498600425432</v>
      </c>
      <c r="S13">
        <v>213.32851388719351</v>
      </c>
      <c r="T13">
        <v>206.66205543137639</v>
      </c>
      <c r="U13">
        <v>199.99561004660671</v>
      </c>
      <c r="V13">
        <v>193.32917710563686</v>
      </c>
      <c r="W13">
        <v>186.66275594594603</v>
      </c>
      <c r="X13">
        <v>179.99634587161788</v>
      </c>
      <c r="Y13">
        <v>173.32994615531373</v>
      </c>
      <c r="Z13">
        <v>166.66355604033359</v>
      </c>
      <c r="AA13">
        <v>159.99717474276184</v>
      </c>
      <c r="AB13">
        <v>153.33080145368859</v>
      </c>
      <c r="AC13">
        <v>146.66443534150335</v>
      </c>
      <c r="AD13">
        <v>139.9980755542517</v>
      </c>
      <c r="AE13">
        <v>133.33172122205059</v>
      </c>
      <c r="AF13">
        <v>126.66537145955408</v>
      </c>
      <c r="AG13">
        <v>119.99902536846284</v>
      </c>
      <c r="AH13">
        <v>113.33268204007058</v>
      </c>
      <c r="AI13">
        <v>106.66634055783985</v>
      </c>
      <c r="AJ13">
        <v>100</v>
      </c>
    </row>
    <row r="14" spans="1:36" x14ac:dyDescent="0.25">
      <c r="C14" t="s">
        <v>8</v>
      </c>
    </row>
    <row r="15" spans="1:36" x14ac:dyDescent="0.25">
      <c r="E15" t="s">
        <v>10</v>
      </c>
      <c r="G15">
        <f>G13+(($C$10*$C$5)/($C$9*$C$8))*((H13-2*G13+F13)/($C$4^2))</f>
        <v>293.32721687479363</v>
      </c>
      <c r="H15">
        <f t="shared" ref="H15:AI15" si="1">H13+(($C$10*$C$5)/($C$9*$C$8))*((I13-2*H13+G13)/($C$4^2))</f>
        <v>286.66056754589317</v>
      </c>
      <c r="I15">
        <f t="shared" si="1"/>
        <v>279.99393550561325</v>
      </c>
      <c r="J15">
        <f t="shared" si="1"/>
        <v>273.32732065580149</v>
      </c>
      <c r="K15">
        <f t="shared" si="1"/>
        <v>266.6607228495775</v>
      </c>
      <c r="L15">
        <f t="shared" si="1"/>
        <v>259.99414189174877</v>
      </c>
      <c r="M15">
        <f t="shared" si="1"/>
        <v>253.32757753936443</v>
      </c>
      <c r="N15">
        <f t="shared" si="1"/>
        <v>246.66102950240341</v>
      </c>
      <c r="O15">
        <f t="shared" si="1"/>
        <v>239.99449744459696</v>
      </c>
      <c r="P15">
        <f t="shared" si="1"/>
        <v>233.32798098438161</v>
      </c>
      <c r="Q15">
        <f t="shared" si="1"/>
        <v>226.66147969598092</v>
      </c>
      <c r="R15">
        <f t="shared" si="1"/>
        <v>219.99499311061214</v>
      </c>
      <c r="S15">
        <f t="shared" si="1"/>
        <v>213.32852071781537</v>
      </c>
      <c r="T15">
        <f t="shared" si="1"/>
        <v>206.66206196690013</v>
      </c>
      <c r="U15">
        <f t="shared" si="1"/>
        <v>199.99561626850664</v>
      </c>
      <c r="V15">
        <f t="shared" si="1"/>
        <v>193.32918299627636</v>
      </c>
      <c r="W15">
        <f t="shared" si="1"/>
        <v>186.66276148862738</v>
      </c>
      <c r="X15">
        <f t="shared" si="1"/>
        <v>179.99635105062987</v>
      </c>
      <c r="Y15">
        <f t="shared" si="1"/>
        <v>173.32995095597573</v>
      </c>
      <c r="Z15">
        <f t="shared" si="1"/>
        <v>166.66356044903779</v>
      </c>
      <c r="AA15">
        <f t="shared" si="1"/>
        <v>159.99717874701111</v>
      </c>
      <c r="AB15">
        <f t="shared" si="1"/>
        <v>153.3308050421326</v>
      </c>
      <c r="AC15">
        <f t="shared" si="1"/>
        <v>146.66443850397013</v>
      </c>
      <c r="AD15">
        <f t="shared" si="1"/>
        <v>139.99807828177697</v>
      </c>
      <c r="AE15">
        <f t="shared" si="1"/>
        <v>133.3317235069029</v>
      </c>
      <c r="AF15">
        <f t="shared" si="1"/>
        <v>126.66537329525671</v>
      </c>
      <c r="AG15">
        <f t="shared" si="1"/>
        <v>119.99902674981233</v>
      </c>
      <c r="AH15">
        <f t="shared" si="1"/>
        <v>113.33268296315134</v>
      </c>
      <c r="AI15">
        <f t="shared" si="1"/>
        <v>106.66634102003529</v>
      </c>
    </row>
    <row r="16" spans="1:36" x14ac:dyDescent="0.25">
      <c r="E16" t="s">
        <v>12</v>
      </c>
      <c r="F16">
        <v>92000</v>
      </c>
      <c r="G16">
        <f>-$C$10*((G13-F13)/$C$4)</f>
        <v>92000.000000000247</v>
      </c>
      <c r="H16">
        <f t="shared" ref="H16:AJ16" si="2">-$C$10*((H13-G13)/$C$4)</f>
        <v>91999.760399237945</v>
      </c>
      <c r="I16">
        <f t="shared" si="2"/>
        <v>91999.521477651695</v>
      </c>
      <c r="J16">
        <f t="shared" si="2"/>
        <v>91999.283912487881</v>
      </c>
      <c r="K16">
        <f t="shared" si="2"/>
        <v>91999.048377152212</v>
      </c>
      <c r="L16">
        <f t="shared" si="2"/>
        <v>91998.815539295014</v>
      </c>
      <c r="M16">
        <f t="shared" si="2"/>
        <v>91998.586058919493</v>
      </c>
      <c r="N16">
        <f t="shared" si="2"/>
        <v>91998.360586513969</v>
      </c>
      <c r="O16">
        <f t="shared" si="2"/>
        <v>91998.139761204598</v>
      </c>
      <c r="P16">
        <f t="shared" si="2"/>
        <v>91997.924208944023</v>
      </c>
      <c r="Q16">
        <f t="shared" si="2"/>
        <v>91997.714540738612</v>
      </c>
      <c r="R16">
        <f t="shared" si="2"/>
        <v>91997.511350915549</v>
      </c>
      <c r="S16">
        <f t="shared" si="2"/>
        <v>91997.315215439114</v>
      </c>
      <c r="T16">
        <f t="shared" si="2"/>
        <v>91997.126690276258</v>
      </c>
      <c r="U16">
        <f t="shared" si="2"/>
        <v>91996.946309821491</v>
      </c>
      <c r="V16">
        <f t="shared" si="2"/>
        <v>91996.774585383988</v>
      </c>
      <c r="W16">
        <f t="shared" si="2"/>
        <v>91996.612003733419</v>
      </c>
      <c r="X16">
        <f t="shared" si="2"/>
        <v>91996.459025728531</v>
      </c>
      <c r="Y16">
        <f t="shared" si="2"/>
        <v>91996.316084997146</v>
      </c>
      <c r="Z16">
        <f t="shared" si="2"/>
        <v>91996.183586726009</v>
      </c>
      <c r="AA16">
        <f t="shared" si="2"/>
        <v>91996.061906490097</v>
      </c>
      <c r="AB16">
        <f t="shared" si="2"/>
        <v>91995.951389210823</v>
      </c>
      <c r="AC16">
        <f t="shared" si="2"/>
        <v>91995.852348156361</v>
      </c>
      <c r="AD16">
        <f t="shared" si="2"/>
        <v>91995.765064072766</v>
      </c>
      <c r="AE16">
        <f t="shared" si="2"/>
        <v>91995.68978437531</v>
      </c>
      <c r="AF16">
        <f t="shared" si="2"/>
        <v>91995.626722451809</v>
      </c>
      <c r="AG16">
        <f t="shared" si="2"/>
        <v>91995.576057059137</v>
      </c>
      <c r="AH16">
        <f t="shared" si="2"/>
        <v>91995.53793181316</v>
      </c>
      <c r="AI16">
        <f t="shared" si="2"/>
        <v>91995.512454784126</v>
      </c>
      <c r="AJ16">
        <f t="shared" si="2"/>
        <v>91995.499698189858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2021-09-16T06:21:14Z</dcterms:modified>
</cp:coreProperties>
</file>