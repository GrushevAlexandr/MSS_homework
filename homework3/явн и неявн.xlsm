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nomik\Downloads\"/>
    </mc:Choice>
  </mc:AlternateContent>
  <bookViews>
    <workbookView xWindow="0" yWindow="0" windowWidth="19200" windowHeight="11175" activeTab="1"/>
  </bookViews>
  <sheets>
    <sheet name="явн" sheetId="3" r:id="rId1"/>
    <sheet name="неявн" sheetId="4" r:id="rId2"/>
  </sheets>
  <calcPr calcId="15251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2" i="3" l="1"/>
  <c r="B20" i="4"/>
  <c r="B21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4" i="4"/>
  <c r="D18" i="4"/>
  <c r="D19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B19" i="4"/>
  <c r="AH12" i="4"/>
  <c r="D12" i="4"/>
  <c r="B2" i="4"/>
  <c r="E11" i="4" s="1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AG11" i="4" s="1"/>
  <c r="AH11" i="4" s="1"/>
  <c r="D12" i="3"/>
  <c r="E17" i="4" l="1"/>
  <c r="F17" i="4" s="1"/>
  <c r="G17" i="4" s="1"/>
  <c r="H17" i="4" s="1"/>
  <c r="I17" i="4" s="1"/>
  <c r="J17" i="4" s="1"/>
  <c r="K17" i="4" s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E18" i="4"/>
  <c r="B3" i="4"/>
  <c r="F18" i="4" l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G14" i="4" s="1"/>
  <c r="AF14" i="4" s="1"/>
  <c r="AE14" i="4" s="1"/>
  <c r="AD14" i="4" s="1"/>
  <c r="AC14" i="4" s="1"/>
  <c r="AB14" i="4" s="1"/>
  <c r="AA14" i="4" s="1"/>
  <c r="Z14" i="4" s="1"/>
  <c r="Y14" i="4" s="1"/>
  <c r="X14" i="4" s="1"/>
  <c r="W14" i="4" s="1"/>
  <c r="V14" i="4" s="1"/>
  <c r="U14" i="4" s="1"/>
  <c r="T14" i="4" s="1"/>
  <c r="S14" i="4" s="1"/>
  <c r="R14" i="4" s="1"/>
  <c r="Q14" i="4" s="1"/>
  <c r="P14" i="4" s="1"/>
  <c r="O14" i="4" s="1"/>
  <c r="N14" i="4" s="1"/>
  <c r="M14" i="4" s="1"/>
  <c r="L14" i="4" s="1"/>
  <c r="K14" i="4" s="1"/>
  <c r="J14" i="4" s="1"/>
  <c r="I14" i="4" s="1"/>
  <c r="H14" i="4" s="1"/>
  <c r="G14" i="4" s="1"/>
  <c r="F14" i="4" s="1"/>
  <c r="E14" i="4" s="1"/>
  <c r="B2" i="3"/>
  <c r="E11" i="3" l="1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B3" i="3"/>
  <c r="J14" i="3" l="1"/>
  <c r="V14" i="3"/>
  <c r="W14" i="3"/>
  <c r="L14" i="3"/>
  <c r="X14" i="3"/>
  <c r="M14" i="3"/>
  <c r="Y14" i="3"/>
  <c r="AC14" i="3"/>
  <c r="R14" i="3"/>
  <c r="AE14" i="3"/>
  <c r="I14" i="3"/>
  <c r="K14" i="3"/>
  <c r="N14" i="3"/>
  <c r="Z14" i="3"/>
  <c r="O14" i="3"/>
  <c r="AA14" i="3"/>
  <c r="AB14" i="3"/>
  <c r="E14" i="3"/>
  <c r="Q14" i="3"/>
  <c r="F14" i="3"/>
  <c r="AD14" i="3"/>
  <c r="S14" i="3"/>
  <c r="T14" i="3"/>
  <c r="U14" i="3"/>
  <c r="P14" i="3"/>
  <c r="G14" i="3"/>
  <c r="H14" i="3"/>
  <c r="AF14" i="3"/>
  <c r="AG14" i="3"/>
</calcChain>
</file>

<file path=xl/sharedStrings.xml><?xml version="1.0" encoding="utf-8"?>
<sst xmlns="http://schemas.openxmlformats.org/spreadsheetml/2006/main" count="34" uniqueCount="22">
  <si>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</si>
  <si>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</si>
  <si>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</si>
  <si>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</si>
  <si>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</si>
  <si>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</si>
  <si>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</si>
  <si>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</si>
  <si>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</si>
  <si>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</si>
  <si>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</si>
  <si>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</si>
  <si>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</si>
  <si>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</si>
  <si>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</si>
  <si>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T</t>
    </r>
    <r>
      <rPr>
        <vertAlign val="superscript"/>
        <sz val="14"/>
        <color theme="1"/>
        <rFont val="Times New Roman"/>
        <family val="1"/>
        <charset val="204"/>
      </rPr>
      <t>e2</t>
    </r>
  </si>
  <si>
    <t>A</t>
  </si>
  <si>
    <t>B</t>
  </si>
  <si>
    <t>C</t>
  </si>
  <si>
    <t>α</t>
  </si>
  <si>
    <t>β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</si>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</sst>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явн!$D$11:$AH$11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явн!$D$12:$AH$12</c:f>
              <c:numCache>
                <c:formatCode>0.00</c:formatCode>
                <c:ptCount val="31"/>
                <c:pt idx="0" formatCode="General">
                  <c:v>19.622932136282643</c:v>
                </c:pt>
                <c:pt idx="1">
                  <c:v>20.882397418929408</c:v>
                </c:pt>
                <c:pt idx="2">
                  <c:v>22.129149526019429</c:v>
                </c:pt>
                <c:pt idx="3">
                  <c:v>23.362875637433387</c:v>
                </c:pt>
                <c:pt idx="4">
                  <c:v>24.583263627188472</c:v>
                </c:pt>
                <c:pt idx="5">
                  <c:v>25.790004474506112</c:v>
                </c:pt>
                <c:pt idx="6">
                  <c:v>26.982788752695399</c:v>
                </c:pt>
                <c:pt idx="7">
                  <c:v>28.161311293813196</c:v>
                </c:pt>
                <c:pt idx="8">
                  <c:v>29.325265500229762</c:v>
                </c:pt>
                <c:pt idx="9">
                  <c:v>30.474350046173075</c:v>
                </c:pt>
                <c:pt idx="10">
                  <c:v>31.608261279275094</c:v>
                </c:pt>
                <c:pt idx="11">
                  <c:v>32.726701647088142</c:v>
                </c:pt>
                <c:pt idx="12">
                  <c:v>33.829370545218339</c:v>
                </c:pt>
                <c:pt idx="13">
                  <c:v>34.915974076276065</c:v>
                </c:pt>
                <c:pt idx="14">
                  <c:v>35.986214773836139</c:v>
                </c:pt>
                <c:pt idx="15">
                  <c:v>37.039802239004246</c:v>
                </c:pt>
                <c:pt idx="16">
                  <c:v>38.076442222004445</c:v>
                </c:pt>
                <c:pt idx="17">
                  <c:v>39.095847640519779</c:v>
                </c:pt>
                <c:pt idx="18">
                  <c:v>40.097727530738581</c:v>
                </c:pt>
                <c:pt idx="19">
                  <c:v>41.081797933777082</c:v>
                </c:pt>
                <c:pt idx="20">
                  <c:v>42.047771234112247</c:v>
                </c:pt>
                <c:pt idx="21">
                  <c:v>42.995366406550929</c:v>
                </c:pt>
                <c:pt idx="22">
                  <c:v>43.924299241853276</c:v>
                </c:pt>
                <c:pt idx="23">
                  <c:v>44.834291476589151</c:v>
                </c:pt>
                <c:pt idx="24">
                  <c:v>45.7250623642595</c:v>
                </c:pt>
                <c:pt idx="25">
                  <c:v>46.596336262579811</c:v>
                </c:pt>
                <c:pt idx="26">
                  <c:v>47.447835945477735</c:v>
                </c:pt>
                <c:pt idx="27">
                  <c:v>48.27928829442547</c:v>
                </c:pt>
                <c:pt idx="28">
                  <c:v>49.090419665272819</c:v>
                </c:pt>
                <c:pt idx="29">
                  <c:v>49.880959418846686</c:v>
                </c:pt>
                <c:pt idx="30" formatCode="General">
                  <c:v>50.650637560477101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711088"/>
        <c:axId val="808719792"/>
      </c:scatterChart>
      <c:valAx>
        <c:axId val="80871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08719792"/>
        <c:crosses val="autoZero"/>
        <c:crossBetween val="midCat"/>
      </c:valAx>
      <c:valAx>
        <c:axId val="80871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08711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Неявная схема</c:v>
          </c:tx>
          <c:spPr>
            <a:ln w="381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неявн!$D$11:$AH$11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 formatCode="General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ACC-46FF-BE29-64CCE0890F7C}"/>
            </c:ext>
          </c:extLst>
        </c:ser>
        <c:ser>
          <c:idx val="1"/>
          <c:order val="1"/>
          <c:tx>
            <c:v>Явная схема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ACC-46FF-BE29-64CCE089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721424"/>
        <c:axId val="808707824"/>
      </c:scatterChart>
      <c:valAx>
        <c:axId val="8087214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08707824"/>
        <c:crosses val="autoZero"/>
        <c:crossBetween val="midCat"/>
      </c:valAx>
      <c:valAx>
        <c:axId val="8087078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0872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14</xdr:row>
      <xdr:rowOff>19050</xdr:rowOff>
    </xdr:from>
    <xdr:to>
      <xdr:col>24</xdr:col>
      <xdr:colOff>323850</xdr:colOff>
      <xdr:row>47</xdr:row>
      <xdr:rowOff>133350</xdr:rowOff>
    </xdr:to>
    <xdr:grpSp>
      <xdr:nvGrpSpPr>
        <xdr:cNvPr id="6" name="Группа 5">
          <a:extLst>
            <a:ext uri="{FF2B5EF4-FFF2-40B4-BE49-F238E27FC236}">
              <a16:creationId xmlns="" xmlns:a16="http://schemas.microsoft.com/office/drawing/2014/main" id="{A14B6F36-A714-466E-A652-EC0555B69401}"/>
            </a:ext>
          </a:extLst>
        </xdr:cNvPr>
        <xdr:cNvGrpSpPr/>
      </xdr:nvGrpSpPr>
      <xdr:grpSpPr>
        <a:xfrm>
          <a:off x="5772150" y="3638550"/>
          <a:ext cx="9258300" cy="7105650"/>
          <a:chOff x="1734925" y="4089536"/>
          <a:chExt cx="4943523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="" xmlns:a16="http://schemas.microsoft.com/office/drawing/2014/main" id="{F7804E30-A5AF-4F95-9940-0867A636DFDE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=""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734925" y="4119509"/>
                <a:ext cx="624979" cy="250381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m:rPr>
                          <m:sty m:val="p"/>
                        </m:rPr>
                        <a:rPr lang="en-US" sz="2400" b="0" i="0">
                          <a:latin typeface="Cambria Math" panose="02040503050406030204" pitchFamily="18" charset="0"/>
                        </a:rPr>
                        <m:t>T</m:t>
                      </m:r>
                      <m:r>
                        <a:rPr lang="en-US" sz="2400" b="0" i="0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2400" i="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xmlns:a14="http://schemas.microsoft.com/office/drawing/2010/main" xmlns="" id="{7B39542E-5F22-4145-8565-F1E6B9E6784B}"/>
                  </a:ext>
                </a:extLst>
              </xdr:cNvPr>
              <xdr:cNvSpPr txBox="1"/>
            </xdr:nvSpPr>
            <xdr:spPr>
              <a:xfrm>
                <a:off x="1734925" y="4119509"/>
                <a:ext cx="624979" cy="250381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2400" b="0" i="0">
                    <a:latin typeface="Cambria Math" panose="02040503050406030204" pitchFamily="18" charset="0"/>
                  </a:rPr>
                  <a:t>T, ℃ </a:t>
                </a:r>
                <a:endParaRPr lang="ru-RU" sz="2400" i="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=""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425736" cy="21228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m:rPr>
                          <m:sty m:val="p"/>
                        </m:rPr>
                        <a:rPr lang="en-US" sz="2400" b="0" i="0">
                          <a:latin typeface="Cambria Math" panose="02040503050406030204" pitchFamily="18" charset="0"/>
                        </a:rPr>
                        <m:t>L</m:t>
                      </m:r>
                      <m:r>
                        <a:rPr lang="en-US" sz="2400" b="0" i="0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2400" i="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xmlns:a14="http://schemas.microsoft.com/office/drawing/2010/main" xmlns="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425736" cy="21228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pPr/>
                <a:r>
                  <a:rPr lang="en-US" sz="2400" b="0" i="0">
                    <a:latin typeface="Cambria Math" panose="02040503050406030204" pitchFamily="18" charset="0"/>
                  </a:rPr>
                  <a:t>L, м </a:t>
                </a:r>
                <a:endParaRPr lang="ru-RU" sz="2400" i="0"/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19</xdr:row>
      <xdr:rowOff>228600</xdr:rowOff>
    </xdr:from>
    <xdr:to>
      <xdr:col>22</xdr:col>
      <xdr:colOff>304800</xdr:colOff>
      <xdr:row>59</xdr:row>
      <xdr:rowOff>57150</xdr:rowOff>
    </xdr:to>
    <xdr:grpSp>
      <xdr:nvGrpSpPr>
        <xdr:cNvPr id="2" name="Группа 1">
          <a:extLst>
            <a:ext uri="{FF2B5EF4-FFF2-40B4-BE49-F238E27FC236}">
              <a16:creationId xmlns="" xmlns:a16="http://schemas.microsoft.com/office/drawing/2014/main" id="{1028549F-E4A3-492C-9DB0-CCF806399853}"/>
            </a:ext>
          </a:extLst>
        </xdr:cNvPr>
        <xdr:cNvGrpSpPr/>
      </xdr:nvGrpSpPr>
      <xdr:grpSpPr>
        <a:xfrm>
          <a:off x="5676900" y="5010150"/>
          <a:ext cx="8782050" cy="7791450"/>
          <a:chOff x="1867159" y="4887256"/>
          <a:chExt cx="5189869" cy="4910623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="" xmlns:a16="http://schemas.microsoft.com/office/drawing/2014/main" id="{46F77246-FBFE-4881-8612-DE0146DA1A7B}"/>
              </a:ext>
            </a:extLst>
          </xdr:cNvPr>
          <xdr:cNvGraphicFramePr/>
        </xdr:nvGraphicFramePr>
        <xdr:xfrm>
          <a:off x="1867159" y="4887256"/>
          <a:ext cx="5153392" cy="49106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" name="TextBox 3">
                <a:extLst>
                  <a:ext uri="{FF2B5EF4-FFF2-40B4-BE49-F238E27FC236}">
                    <a16:creationId xmlns="" xmlns:a16="http://schemas.microsoft.com/office/drawing/2014/main" id="{A575DE8D-4835-4772-A702-C15AB8D3DC7E}"/>
                  </a:ext>
                </a:extLst>
              </xdr:cNvPr>
              <xdr:cNvSpPr txBox="1"/>
            </xdr:nvSpPr>
            <xdr:spPr>
              <a:xfrm>
                <a:off x="1888033" y="4899263"/>
                <a:ext cx="395666" cy="423646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2400" b="1" i="0" baseline="0">
                          <a:latin typeface="Cambria Math" panose="02040503050406030204" pitchFamily="18" charset="0"/>
                        </a:rPr>
                        <m:t>𝐓</m:t>
                      </m:r>
                      <m:r>
                        <a:rPr lang="en-US" sz="2400" b="1" i="0" baseline="0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2400" b="1" i="0" baseline="0"/>
              </a:p>
            </xdr:txBody>
          </xdr:sp>
        </mc:Choice>
        <mc:Fallback>
          <xdr:sp macro="" textlink="">
            <xdr:nvSpPr>
              <xdr:cNvPr id="4" name="TextBox 3">
                <a:extLst>
                  <a:ext uri="{FF2B5EF4-FFF2-40B4-BE49-F238E27FC236}">
                    <a16:creationId xmlns="" xmlns:a16="http://schemas.microsoft.com/office/drawing/2014/main" xmlns:a14="http://schemas.microsoft.com/office/drawing/2010/main" id="{A575DE8D-4835-4772-A702-C15AB8D3DC7E}"/>
                  </a:ext>
                </a:extLst>
              </xdr:cNvPr>
              <xdr:cNvSpPr txBox="1"/>
            </xdr:nvSpPr>
            <xdr:spPr>
              <a:xfrm>
                <a:off x="1888033" y="4899263"/>
                <a:ext cx="395666" cy="423646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pPr/>
                <a:r>
                  <a:rPr lang="en-US" sz="2400" b="1" i="0" baseline="0">
                    <a:latin typeface="Cambria Math" panose="02040503050406030204" pitchFamily="18" charset="0"/>
                  </a:rPr>
                  <a:t>𝐓, ℃ </a:t>
                </a:r>
                <a:endParaRPr lang="ru-RU" sz="2400" b="1" i="0" baseline="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" name="TextBox 4">
                <a:extLst>
                  <a:ext uri="{FF2B5EF4-FFF2-40B4-BE49-F238E27FC236}">
                    <a16:creationId xmlns="" xmlns:a16="http://schemas.microsoft.com/office/drawing/2014/main" id="{B8D2F4B5-3D90-4218-BC38-53F495EAFA16}"/>
                  </a:ext>
                </a:extLst>
              </xdr:cNvPr>
              <xdr:cNvSpPr txBox="1"/>
            </xdr:nvSpPr>
            <xdr:spPr>
              <a:xfrm>
                <a:off x="6606715" y="9473706"/>
                <a:ext cx="450313" cy="32417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2400" b="1" i="0" baseline="0">
                          <a:latin typeface="Cambria Math" panose="02040503050406030204" pitchFamily="18" charset="0"/>
                        </a:rPr>
                        <m:t>𝐋</m:t>
                      </m:r>
                      <m:r>
                        <a:rPr lang="en-US" sz="2400" b="1" i="0" baseline="0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2400" b="1" i="0" baseline="0"/>
              </a:p>
            </xdr:txBody>
          </xdr:sp>
        </mc:Choice>
        <mc:Fallback>
          <xdr:sp macro="" textlink="">
            <xdr:nvSpPr>
              <xdr:cNvPr id="5" name="TextBox 4">
                <a:extLst>
                  <a:ext uri="{FF2B5EF4-FFF2-40B4-BE49-F238E27FC236}">
                    <a16:creationId xmlns="" xmlns:a16="http://schemas.microsoft.com/office/drawing/2014/main" xmlns:a14="http://schemas.microsoft.com/office/drawing/2010/main" id="{B8D2F4B5-3D90-4218-BC38-53F495EAFA16}"/>
                  </a:ext>
                </a:extLst>
              </xdr:cNvPr>
              <xdr:cNvSpPr txBox="1"/>
            </xdr:nvSpPr>
            <xdr:spPr>
              <a:xfrm>
                <a:off x="6606715" y="9473706"/>
                <a:ext cx="450313" cy="32417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pPr/>
                <a:r>
                  <a:rPr lang="en-US" sz="2400" b="1" i="0" baseline="0">
                    <a:latin typeface="Cambria Math" panose="02040503050406030204" pitchFamily="18" charset="0"/>
                  </a:rPr>
                  <a:t>𝐋, м </a:t>
                </a:r>
                <a:endParaRPr lang="ru-RU" sz="2400" b="1" i="0" baseline="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H39"/>
  <sheetViews>
    <sheetView zoomScale="50" zoomScaleNormal="50" workbookViewId="0">
      <selection activeCell="Z54" sqref="Z54"/>
    </sheetView>
  </sheetViews>
  <sheetFormatPr defaultRowHeight="15" x14ac:dyDescent="0.25"/>
  <cols>
    <col min="1" max="1" width="7.42578125" customWidth="1"/>
    <col min="2" max="2" width="12" customWidth="1"/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600</v>
      </c>
      <c r="C4" s="2">
        <v>600.07233502538077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10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11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13</v>
      </c>
      <c r="B9" s="3">
        <v>1000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0.25" x14ac:dyDescent="0.25">
      <c r="A10" s="3" t="s">
        <v>14</v>
      </c>
      <c r="B10" s="3">
        <v>500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22.5" x14ac:dyDescent="0.25">
      <c r="A11" s="3" t="s">
        <v>12</v>
      </c>
      <c r="B11" s="3">
        <v>-30</v>
      </c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22.5" x14ac:dyDescent="0.25">
      <c r="A12" s="3" t="s">
        <v>15</v>
      </c>
      <c r="B12" s="3">
        <v>10</v>
      </c>
      <c r="C12" s="2" t="s">
        <v>4</v>
      </c>
      <c r="D12" s="3">
        <f>1/(B8+B9*B2)*(B8*E12+B9*B2*B11)</f>
        <v>19.622932136282643</v>
      </c>
      <c r="E12" s="5">
        <v>20.882397418929408</v>
      </c>
      <c r="F12" s="5">
        <v>22.129149526019429</v>
      </c>
      <c r="G12" s="5">
        <v>23.362875637433387</v>
      </c>
      <c r="H12" s="5">
        <v>24.583263627188472</v>
      </c>
      <c r="I12" s="5">
        <v>25.790004474506112</v>
      </c>
      <c r="J12" s="5">
        <v>26.982788752695399</v>
      </c>
      <c r="K12" s="5">
        <v>28.161311293813196</v>
      </c>
      <c r="L12" s="5">
        <v>29.325265500229762</v>
      </c>
      <c r="M12" s="5">
        <v>30.474350046173075</v>
      </c>
      <c r="N12" s="5">
        <v>31.608261279275094</v>
      </c>
      <c r="O12" s="5">
        <v>32.726701647088142</v>
      </c>
      <c r="P12" s="5">
        <v>33.829370545218339</v>
      </c>
      <c r="Q12" s="5">
        <v>34.915974076276065</v>
      </c>
      <c r="R12" s="5">
        <v>35.986214773836139</v>
      </c>
      <c r="S12" s="5">
        <v>37.039802239004246</v>
      </c>
      <c r="T12" s="5">
        <v>38.076442222004445</v>
      </c>
      <c r="U12" s="5">
        <v>39.095847640519779</v>
      </c>
      <c r="V12" s="5">
        <v>40.097727530738581</v>
      </c>
      <c r="W12" s="5">
        <v>41.081797933777082</v>
      </c>
      <c r="X12" s="5">
        <v>42.047771234112247</v>
      </c>
      <c r="Y12" s="5">
        <v>42.995366406550929</v>
      </c>
      <c r="Z12" s="5">
        <v>43.924299241853276</v>
      </c>
      <c r="AA12" s="5">
        <v>44.834291476589151</v>
      </c>
      <c r="AB12" s="5">
        <v>45.7250623642595</v>
      </c>
      <c r="AC12" s="5">
        <v>46.596336262579811</v>
      </c>
      <c r="AD12" s="5">
        <v>47.447835945477735</v>
      </c>
      <c r="AE12" s="5">
        <v>48.27928829442547</v>
      </c>
      <c r="AF12" s="5">
        <v>49.090419665272819</v>
      </c>
      <c r="AG12" s="5">
        <v>49.880959418846686</v>
      </c>
      <c r="AH12" s="3">
        <f>1/(B8-B10*B2)*(B8*AG12+B10*B2*B12)</f>
        <v>50.650637560477101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20.876040831151037</v>
      </c>
      <c r="F14" s="2">
        <f t="shared" ref="F14:AG14" si="1">F12+(($B$8*$B$3)/($B$7*$B$6))*((G12-2*F12+E12)/($B$2^2))</f>
        <v>22.122636528181395</v>
      </c>
      <c r="G14" s="2">
        <f t="shared" si="1"/>
        <v>23.356206576603952</v>
      </c>
      <c r="H14" s="2">
        <f t="shared" si="1"/>
        <v>24.576440055969748</v>
      </c>
      <c r="I14" s="2">
        <f t="shared" si="1"/>
        <v>25.783026189941936</v>
      </c>
      <c r="J14" s="2">
        <f t="shared" si="1"/>
        <v>26.975657884159652</v>
      </c>
      <c r="K14" s="2">
        <f t="shared" si="1"/>
        <v>28.15402712646258</v>
      </c>
      <c r="L14" s="2">
        <f t="shared" si="1"/>
        <v>29.317830669993135</v>
      </c>
      <c r="M14" s="2">
        <f t="shared" si="1"/>
        <v>30.46676338975243</v>
      </c>
      <c r="N14" s="2">
        <f t="shared" si="1"/>
        <v>31.60052584663061</v>
      </c>
      <c r="O14" s="2">
        <f t="shared" si="1"/>
        <v>32.718815912246718</v>
      </c>
      <c r="P14" s="2">
        <f t="shared" si="1"/>
        <v>33.821337861682103</v>
      </c>
      <c r="Q14" s="2">
        <f t="shared" si="1"/>
        <v>34.907792659527239</v>
      </c>
      <c r="R14" s="2">
        <f t="shared" si="1"/>
        <v>35.977888157640152</v>
      </c>
      <c r="S14" s="2">
        <f t="shared" si="1"/>
        <v>37.031328497920292</v>
      </c>
      <c r="T14" s="2">
        <f t="shared" si="1"/>
        <v>38.067824939762012</v>
      </c>
      <c r="U14" s="2">
        <f t="shared" si="1"/>
        <v>39.087084876371513</v>
      </c>
      <c r="V14" s="2">
        <f t="shared" si="1"/>
        <v>40.08882278714843</v>
      </c>
      <c r="W14" s="2">
        <f t="shared" si="1"/>
        <v>41.072749382425414</v>
      </c>
      <c r="X14" s="2">
        <f t="shared" si="1"/>
        <v>42.038582170164005</v>
      </c>
      <c r="Y14" s="2">
        <f t="shared" si="1"/>
        <v>42.986035237982762</v>
      </c>
      <c r="Z14" s="2">
        <f t="shared" si="1"/>
        <v>43.914828941570036</v>
      </c>
      <c r="AA14" s="2">
        <f t="shared" si="1"/>
        <v>44.824680803056388</v>
      </c>
      <c r="AB14" s="2">
        <f t="shared" si="1"/>
        <v>45.715313869584477</v>
      </c>
      <c r="AC14" s="2">
        <f t="shared" si="1"/>
        <v>46.586449154868617</v>
      </c>
      <c r="AD14" s="2">
        <f t="shared" si="1"/>
        <v>47.437812278502641</v>
      </c>
      <c r="AE14" s="2">
        <f t="shared" si="1"/>
        <v>48.269127805375277</v>
      </c>
      <c r="AF14" s="2">
        <f t="shared" si="1"/>
        <v>49.080123856636078</v>
      </c>
      <c r="AG14" s="2">
        <f t="shared" si="1"/>
        <v>49.870528612874963</v>
      </c>
      <c r="AH14" s="2"/>
    </row>
    <row r="15" spans="1:34" ht="18.75" x14ac:dyDescent="0.25">
      <c r="A15" s="2"/>
      <c r="B15" s="2"/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50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H37"/>
  <sheetViews>
    <sheetView tabSelected="1" zoomScale="50" zoomScaleNormal="50" workbookViewId="0">
      <selection activeCell="Y32" sqref="Y32"/>
    </sheetView>
  </sheetViews>
  <sheetFormatPr defaultRowHeight="15" x14ac:dyDescent="0.25"/>
  <cols>
    <col min="2" max="2" width="11.85546875" bestFit="1" customWidth="1"/>
    <col min="4" max="4" width="15.7109375" bestFit="1" customWidth="1"/>
    <col min="5" max="5" width="10.85546875" bestFit="1" customWidth="1"/>
    <col min="33" max="33" width="10.85546875" bestFit="1" customWidth="1"/>
  </cols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10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11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280.20114262798575</v>
      </c>
      <c r="F12" s="5">
        <v>260.57053452366904</v>
      </c>
      <c r="G12" s="5">
        <v>241.27335396752636</v>
      </c>
      <c r="H12" s="5">
        <v>222.46874067679317</v>
      </c>
      <c r="I12" s="5">
        <v>204.30702925674697</v>
      </c>
      <c r="J12" s="5">
        <v>186.92727013670742</v>
      </c>
      <c r="K12" s="5">
        <v>170.45510875086381</v>
      </c>
      <c r="L12" s="5">
        <v>155.00107463428773</v>
      </c>
      <c r="M12" s="5">
        <v>140.65931099015722</v>
      </c>
      <c r="N12" s="5">
        <v>127.5067536180474</v>
      </c>
      <c r="O12" s="5">
        <v>115.60274732960713</v>
      </c>
      <c r="P12" s="5">
        <v>104.98906943559072</v>
      </c>
      <c r="Q12" s="5">
        <v>95.690314648076594</v>
      </c>
      <c r="R12" s="5">
        <v>87.714584570723446</v>
      </c>
      <c r="S12" s="5">
        <v>81.054418255410752</v>
      </c>
      <c r="T12" s="5">
        <v>75.68789812172092</v>
      </c>
      <c r="U12" s="5">
        <v>71.579867553261167</v>
      </c>
      <c r="V12" s="5">
        <v>68.68320209085141</v>
      </c>
      <c r="W12" s="5">
        <v>66.940084503407604</v>
      </c>
      <c r="X12" s="5">
        <v>66.283244166503039</v>
      </c>
      <c r="Y12" s="5">
        <v>66.637132112902975</v>
      </c>
      <c r="Z12" s="5">
        <v>67.919013891339318</v>
      </c>
      <c r="AA12" s="5">
        <v>70.039972168091296</v>
      </c>
      <c r="AB12" s="5">
        <v>72.905819217013814</v>
      </c>
      <c r="AC12" s="5">
        <v>76.417925689672472</v>
      </c>
      <c r="AD12" s="5">
        <v>80.473976208137344</v>
      </c>
      <c r="AE12" s="5">
        <v>84.968664482862408</v>
      </c>
      <c r="AF12" s="5">
        <v>89.794341128753075</v>
      </c>
      <c r="AG12" s="5">
        <v>94.841626578966242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 t="shared" ref="E14:AF14" si="1">E17*F14+E18</f>
        <v>280.28451209215399</v>
      </c>
      <c r="F14" s="2">
        <f t="shared" si="1"/>
        <v>260.73576311264441</v>
      </c>
      <c r="G14" s="2">
        <f t="shared" si="1"/>
        <v>241.51747131108542</v>
      </c>
      <c r="H14" s="2">
        <f t="shared" si="1"/>
        <v>222.78741419664442</v>
      </c>
      <c r="I14" s="2">
        <f t="shared" si="1"/>
        <v>204.69470412190589</v>
      </c>
      <c r="J14" s="2">
        <f t="shared" si="1"/>
        <v>187.37734377748521</v>
      </c>
      <c r="K14" s="2">
        <f t="shared" si="1"/>
        <v>170.96013071462008</v>
      </c>
      <c r="L14" s="2">
        <f t="shared" si="1"/>
        <v>155.55296157926747</v>
      </c>
      <c r="M14" s="2">
        <f t="shared" si="1"/>
        <v>141.24956633387433</v>
      </c>
      <c r="N14" s="2">
        <f t="shared" si="1"/>
        <v>128.12668177591533</v>
      </c>
      <c r="O14" s="2">
        <f t="shared" si="1"/>
        <v>116.24365353369214</v>
      </c>
      <c r="P14" s="2">
        <f t="shared" si="1"/>
        <v>105.64243769963892</v>
      </c>
      <c r="Q14" s="2">
        <f t="shared" si="1"/>
        <v>96.347958393682063</v>
      </c>
      <c r="R14" s="2">
        <f t="shared" si="1"/>
        <v>88.368766578936132</v>
      </c>
      <c r="S14" s="2">
        <f t="shared" si="1"/>
        <v>81.697938780615559</v>
      </c>
      <c r="T14" s="2">
        <f t="shared" si="1"/>
        <v>76.314152032704555</v>
      </c>
      <c r="U14" s="2">
        <f t="shared" si="1"/>
        <v>72.182873106760752</v>
      </c>
      <c r="V14" s="2">
        <f t="shared" si="1"/>
        <v>69.257605287816148</v>
      </c>
      <c r="W14" s="2">
        <f t="shared" si="1"/>
        <v>67.481143862800991</v>
      </c>
      <c r="X14" s="2">
        <f t="shared" si="1"/>
        <v>66.786801156572579</v>
      </c>
      <c r="Y14" s="2">
        <f t="shared" si="1"/>
        <v>67.099572430483207</v>
      </c>
      <c r="Z14" s="2">
        <f t="shared" si="1"/>
        <v>68.337224339554268</v>
      </c>
      <c r="AA14" s="2">
        <f t="shared" si="1"/>
        <v>70.411297145055215</v>
      </c>
      <c r="AB14" s="2">
        <f t="shared" si="1"/>
        <v>73.228019904484</v>
      </c>
      <c r="AC14" s="2">
        <f t="shared" si="1"/>
        <v>76.689144038853158</v>
      </c>
      <c r="AD14" s="2">
        <f t="shared" si="1"/>
        <v>80.692704871583686</v>
      </c>
      <c r="AE14" s="2">
        <f t="shared" si="1"/>
        <v>85.13372303120687</v>
      </c>
      <c r="AF14" s="2">
        <f t="shared" si="1"/>
        <v>89.904858287518977</v>
      </c>
      <c r="AG14" s="2">
        <f>AG17*AH14+AG18</f>
        <v>94.897027861362858</v>
      </c>
      <c r="AH14" s="2">
        <f>AH12</f>
        <v>100</v>
      </c>
    </row>
    <row r="15" spans="1:34" ht="18.75" x14ac:dyDescent="0.25">
      <c r="A15" s="2"/>
      <c r="B15" s="2"/>
      <c r="C15" s="2" t="s">
        <v>6</v>
      </c>
      <c r="D15" s="2">
        <f>B18</f>
        <v>0</v>
      </c>
      <c r="E15" s="2">
        <f>-$B$8*((E12-D12)/$B$2)</f>
        <v>273224.23173379671</v>
      </c>
      <c r="F15" s="2">
        <f>-$B$8*((F12-E12)/$B$2)</f>
        <v>270902.39183957054</v>
      </c>
      <c r="G15" s="2">
        <f t="shared" ref="G15:AG15" si="2">-$B$8*((G12-F12)/$B$2)</f>
        <v>266301.09167476895</v>
      </c>
      <c r="H15" s="2">
        <f t="shared" si="2"/>
        <v>259503.66341211798</v>
      </c>
      <c r="I15" s="2">
        <f t="shared" si="2"/>
        <v>250631.61759663757</v>
      </c>
      <c r="J15" s="2">
        <f t="shared" si="2"/>
        <v>239840.6758565458</v>
      </c>
      <c r="K15" s="2">
        <f t="shared" si="2"/>
        <v>227315.82712464174</v>
      </c>
      <c r="L15" s="2">
        <f t="shared" si="2"/>
        <v>213265.67080874994</v>
      </c>
      <c r="M15" s="2">
        <f t="shared" si="2"/>
        <v>197916.33828900103</v>
      </c>
      <c r="N15" s="2">
        <f t="shared" si="2"/>
        <v>181505.29173511558</v>
      </c>
      <c r="O15" s="2">
        <f t="shared" si="2"/>
        <v>164275.28678047573</v>
      </c>
      <c r="P15" s="2">
        <f t="shared" si="2"/>
        <v>146468.75493742639</v>
      </c>
      <c r="Q15" s="2">
        <f t="shared" si="2"/>
        <v>128322.81606769495</v>
      </c>
      <c r="R15" s="2">
        <f t="shared" si="2"/>
        <v>110065.07506747343</v>
      </c>
      <c r="S15" s="2">
        <f t="shared" si="2"/>
        <v>91910.295151315164</v>
      </c>
      <c r="T15" s="2">
        <f t="shared" si="2"/>
        <v>74057.977844919675</v>
      </c>
      <c r="U15" s="2">
        <f t="shared" si="2"/>
        <v>56690.821844744598</v>
      </c>
      <c r="V15" s="2">
        <f t="shared" si="2"/>
        <v>39973.983381254649</v>
      </c>
      <c r="W15" s="2">
        <f t="shared" si="2"/>
        <v>24055.022706724514</v>
      </c>
      <c r="X15" s="2">
        <f t="shared" si="2"/>
        <v>9064.3966492830041</v>
      </c>
      <c r="Y15" s="2">
        <f t="shared" si="2"/>
        <v>-4883.6536603191234</v>
      </c>
      <c r="Z15" s="2">
        <f t="shared" si="2"/>
        <v>-17689.968542421535</v>
      </c>
      <c r="AA15" s="2">
        <f t="shared" si="2"/>
        <v>-29269.224219177289</v>
      </c>
      <c r="AB15" s="2">
        <f t="shared" si="2"/>
        <v>-39548.689275130746</v>
      </c>
      <c r="AC15" s="2">
        <f t="shared" si="2"/>
        <v>-48467.06932268948</v>
      </c>
      <c r="AD15" s="2">
        <f t="shared" si="2"/>
        <v>-55973.497154815232</v>
      </c>
      <c r="AE15" s="2">
        <f t="shared" si="2"/>
        <v>-62026.698191205876</v>
      </c>
      <c r="AF15" s="2">
        <f t="shared" si="2"/>
        <v>-66594.337713291199</v>
      </c>
      <c r="AG15" s="2">
        <f t="shared" si="2"/>
        <v>-69652.539212941701</v>
      </c>
      <c r="AH15" s="2"/>
    </row>
    <row r="16" spans="1:34" ht="20.25" x14ac:dyDescent="0.25">
      <c r="A16" s="3" t="s">
        <v>8</v>
      </c>
      <c r="B16" s="3">
        <v>300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 t="s">
        <v>19</v>
      </c>
      <c r="D17" s="2">
        <v>0</v>
      </c>
      <c r="E17" s="2">
        <f>$B$19/($B$20-$B$21*D17)</f>
        <v>0.25</v>
      </c>
      <c r="F17" s="2">
        <f t="shared" ref="F17:AG17" si="3">$B$19/($B$20-$B$21*E17)</f>
        <v>0.26666666666666666</v>
      </c>
      <c r="G17" s="2">
        <f t="shared" si="3"/>
        <v>0.26785714285714285</v>
      </c>
      <c r="H17" s="2">
        <f t="shared" si="3"/>
        <v>0.26794258373205743</v>
      </c>
      <c r="I17" s="2">
        <f t="shared" si="3"/>
        <v>0.26794871794871794</v>
      </c>
      <c r="J17" s="2">
        <f t="shared" si="3"/>
        <v>0.26794915836482308</v>
      </c>
      <c r="K17" s="2">
        <f t="shared" si="3"/>
        <v>0.26794918998527245</v>
      </c>
      <c r="L17" s="2">
        <f t="shared" si="3"/>
        <v>0.26794919225551855</v>
      </c>
      <c r="M17" s="2">
        <f t="shared" si="3"/>
        <v>0.26794919241851489</v>
      </c>
      <c r="N17" s="2">
        <f t="shared" si="3"/>
        <v>0.26794919243021753</v>
      </c>
      <c r="O17" s="2">
        <f t="shared" si="3"/>
        <v>0.26794919243105775</v>
      </c>
      <c r="P17" s="2">
        <f t="shared" si="3"/>
        <v>0.26794919243111803</v>
      </c>
      <c r="Q17" s="2">
        <f t="shared" si="3"/>
        <v>0.26794919243112236</v>
      </c>
      <c r="R17" s="2">
        <f t="shared" si="3"/>
        <v>0.2679491924311227</v>
      </c>
      <c r="S17" s="2">
        <f t="shared" si="3"/>
        <v>0.2679491924311227</v>
      </c>
      <c r="T17" s="2">
        <f t="shared" si="3"/>
        <v>0.2679491924311227</v>
      </c>
      <c r="U17" s="2">
        <f t="shared" si="3"/>
        <v>0.2679491924311227</v>
      </c>
      <c r="V17" s="2">
        <f t="shared" si="3"/>
        <v>0.2679491924311227</v>
      </c>
      <c r="W17" s="2">
        <f t="shared" si="3"/>
        <v>0.2679491924311227</v>
      </c>
      <c r="X17" s="2">
        <f t="shared" si="3"/>
        <v>0.2679491924311227</v>
      </c>
      <c r="Y17" s="2">
        <f t="shared" si="3"/>
        <v>0.2679491924311227</v>
      </c>
      <c r="Z17" s="2">
        <f t="shared" si="3"/>
        <v>0.2679491924311227</v>
      </c>
      <c r="AA17" s="2">
        <f t="shared" si="3"/>
        <v>0.2679491924311227</v>
      </c>
      <c r="AB17" s="2">
        <f t="shared" si="3"/>
        <v>0.2679491924311227</v>
      </c>
      <c r="AC17" s="2">
        <f t="shared" si="3"/>
        <v>0.2679491924311227</v>
      </c>
      <c r="AD17" s="2">
        <f t="shared" si="3"/>
        <v>0.2679491924311227</v>
      </c>
      <c r="AE17" s="2">
        <f t="shared" si="3"/>
        <v>0.2679491924311227</v>
      </c>
      <c r="AF17" s="2">
        <f t="shared" si="3"/>
        <v>0.2679491924311227</v>
      </c>
      <c r="AG17" s="2">
        <f t="shared" si="3"/>
        <v>0.2679491924311227</v>
      </c>
      <c r="AH17" s="2"/>
    </row>
    <row r="18" spans="1:34" ht="18.75" x14ac:dyDescent="0.25">
      <c r="C18" s="2" t="s">
        <v>20</v>
      </c>
      <c r="D18" s="2">
        <f>D12</f>
        <v>300</v>
      </c>
      <c r="E18" s="2">
        <f>(D18*$B$21-E19)/($B$20-$B$21*D17)</f>
        <v>215.1005713139929</v>
      </c>
      <c r="F18" s="2">
        <f t="shared" ref="F18:AG18" si="4">(E18*$B$21-F19)/($B$20-$B$21*E17)</f>
        <v>196.33110409635498</v>
      </c>
      <c r="G18" s="2">
        <f t="shared" si="4"/>
        <v>181.84227107984137</v>
      </c>
      <c r="H18" s="2">
        <f t="shared" si="4"/>
        <v>167.94098629795192</v>
      </c>
      <c r="I18" s="2">
        <f t="shared" si="4"/>
        <v>154.48718508409254</v>
      </c>
      <c r="J18" s="2">
        <f t="shared" si="4"/>
        <v>141.56872063856261</v>
      </c>
      <c r="K18" s="2">
        <f t="shared" si="4"/>
        <v>129.27984065964515</v>
      </c>
      <c r="L18" s="2">
        <f t="shared" si="4"/>
        <v>117.70525437366356</v>
      </c>
      <c r="M18" s="2">
        <f t="shared" si="4"/>
        <v>106.91812542475377</v>
      </c>
      <c r="N18" s="2">
        <f t="shared" si="4"/>
        <v>96.979288686424511</v>
      </c>
      <c r="O18" s="2">
        <f t="shared" si="4"/>
        <v>87.936847665625564</v>
      </c>
      <c r="P18" s="2">
        <f t="shared" si="4"/>
        <v>79.826080055664846</v>
      </c>
      <c r="Q18" s="2">
        <f t="shared" si="4"/>
        <v>72.669618752721775</v>
      </c>
      <c r="R18" s="2">
        <f t="shared" si="4"/>
        <v>66.477869859382892</v>
      </c>
      <c r="S18" s="2">
        <f t="shared" si="4"/>
        <v>61.249623372386452</v>
      </c>
      <c r="T18" s="2">
        <f t="shared" si="4"/>
        <v>56.972809476389799</v>
      </c>
      <c r="U18" s="2">
        <f t="shared" si="4"/>
        <v>53.625353700176966</v>
      </c>
      <c r="V18" s="2">
        <f t="shared" si="4"/>
        <v>51.176087285450215</v>
      </c>
      <c r="W18" s="2">
        <f t="shared" si="4"/>
        <v>49.585674427839393</v>
      </c>
      <c r="X18" s="2">
        <f t="shared" si="4"/>
        <v>48.807524911350974</v>
      </c>
      <c r="Y18" s="2">
        <f t="shared" si="4"/>
        <v>48.788668355715174</v>
      </c>
      <c r="Z18" s="2">
        <f t="shared" si="4"/>
        <v>49.470574131508911</v>
      </c>
      <c r="AA18" s="2">
        <f t="shared" si="4"/>
        <v>50.789908348318555</v>
      </c>
      <c r="AB18" s="2">
        <f t="shared" si="4"/>
        <v>52.679225691039257</v>
      </c>
      <c r="AC18" s="2">
        <f t="shared" si="4"/>
        <v>55.067598933429394</v>
      </c>
      <c r="AD18" s="2">
        <f t="shared" si="4"/>
        <v>57.881192536716931</v>
      </c>
      <c r="AE18" s="2">
        <f t="shared" si="4"/>
        <v>61.043788857431636</v>
      </c>
      <c r="AF18" s="2">
        <f t="shared" si="4"/>
        <v>64.477276307953048</v>
      </c>
      <c r="AG18" s="2">
        <f t="shared" si="4"/>
        <v>68.102108618250597</v>
      </c>
      <c r="AH18" s="2"/>
    </row>
    <row r="19" spans="1:34" ht="18.75" x14ac:dyDescent="0.25">
      <c r="A19" s="3" t="s">
        <v>16</v>
      </c>
      <c r="B19" s="3">
        <f>B8/B2^2</f>
        <v>4139999.9999999991</v>
      </c>
      <c r="C19" s="2" t="s">
        <v>21</v>
      </c>
      <c r="D19" s="2">
        <f>-(($B$7*$B$6)/$B$3)*D12</f>
        <v>-2483999999.9999995</v>
      </c>
      <c r="E19" s="2">
        <f t="shared" ref="E19:AG19" si="5">-(($B$7*$B$6)/$B$3)*E12</f>
        <v>-2320065460.9597216</v>
      </c>
      <c r="F19" s="2">
        <f t="shared" si="5"/>
        <v>-2157524025.8559794</v>
      </c>
      <c r="G19" s="2">
        <f t="shared" si="5"/>
        <v>-1997743370.8511181</v>
      </c>
      <c r="H19" s="2">
        <f t="shared" si="5"/>
        <v>-1842041172.8038473</v>
      </c>
      <c r="I19" s="2">
        <f t="shared" si="5"/>
        <v>-1691662202.2458646</v>
      </c>
      <c r="J19" s="2">
        <f t="shared" si="5"/>
        <v>-1547757796.7319372</v>
      </c>
      <c r="K19" s="2">
        <f t="shared" si="5"/>
        <v>-1411368300.4571521</v>
      </c>
      <c r="L19" s="2">
        <f t="shared" si="5"/>
        <v>-1283408897.9719024</v>
      </c>
      <c r="M19" s="2">
        <f t="shared" si="5"/>
        <v>-1164659094.9985018</v>
      </c>
      <c r="N19" s="2">
        <f t="shared" si="5"/>
        <v>-1055755919.9574324</v>
      </c>
      <c r="O19" s="2">
        <f t="shared" si="5"/>
        <v>-957190747.88914692</v>
      </c>
      <c r="P19" s="2">
        <f t="shared" si="5"/>
        <v>-869309494.92669106</v>
      </c>
      <c r="Q19" s="2">
        <f t="shared" si="5"/>
        <v>-792315805.28607416</v>
      </c>
      <c r="R19" s="2">
        <f t="shared" si="5"/>
        <v>-726276760.24559009</v>
      </c>
      <c r="S19" s="2">
        <f t="shared" si="5"/>
        <v>-671130583.15480101</v>
      </c>
      <c r="T19" s="2">
        <f t="shared" si="5"/>
        <v>-626695796.44784915</v>
      </c>
      <c r="U19" s="2">
        <f t="shared" si="5"/>
        <v>-592681303.34100235</v>
      </c>
      <c r="V19" s="2">
        <f t="shared" si="5"/>
        <v>-568696913.31224966</v>
      </c>
      <c r="W19" s="2">
        <f t="shared" si="5"/>
        <v>-554263899.6882149</v>
      </c>
      <c r="X19" s="2">
        <f t="shared" si="5"/>
        <v>-548825261.69864511</v>
      </c>
      <c r="Y19" s="2">
        <f t="shared" si="5"/>
        <v>-551755453.89483654</v>
      </c>
      <c r="Z19" s="2">
        <f t="shared" si="5"/>
        <v>-562369435.02028954</v>
      </c>
      <c r="AA19" s="2">
        <f t="shared" si="5"/>
        <v>-579930969.55179584</v>
      </c>
      <c r="AB19" s="2">
        <f t="shared" si="5"/>
        <v>-603660183.11687434</v>
      </c>
      <c r="AC19" s="2">
        <f t="shared" si="5"/>
        <v>-632740424.71048796</v>
      </c>
      <c r="AD19" s="2">
        <f t="shared" si="5"/>
        <v>-666324523.00337708</v>
      </c>
      <c r="AE19" s="2">
        <f t="shared" si="5"/>
        <v>-703540541.91810071</v>
      </c>
      <c r="AF19" s="2">
        <f t="shared" si="5"/>
        <v>-743497144.54607534</v>
      </c>
      <c r="AG19" s="2">
        <f t="shared" si="5"/>
        <v>-785288668.07384038</v>
      </c>
      <c r="AH19" s="2"/>
    </row>
    <row r="20" spans="1:34" ht="18.75" x14ac:dyDescent="0.25">
      <c r="A20" s="3" t="s">
        <v>17</v>
      </c>
      <c r="B20" s="3">
        <f>(2*B8)/B2^2+(B7*B6)/B3</f>
        <v>16559999.999999996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A21" s="3" t="s">
        <v>18</v>
      </c>
      <c r="B21" s="3">
        <f>B19</f>
        <v>4139999.9999999991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</vt:lpstr>
      <vt:lpstr>неявн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gnomik</dc:creator>
  <cp:lastModifiedBy>gnomik</cp:lastModifiedBy>
  <dcterms:created xsi:type="dcterms:W3CDTF">2021-10-23T04:04:57Z</dcterms:created>
  <dcterms:modified xsi:type="dcterms:W3CDTF">2021-10-25T10:02:23Z</dcterms:modified>
</cp:coreProperties>
</file>